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Top 50" sheetId="2" state="visible" r:id="rId2"/>
    <sheet name="Region summary" sheetId="3" state="visible" r:id="rId3"/>
    <sheet name="Methodology" sheetId="4" state="visible" r:id="rId4"/>
  </sheets>
  <definedNames>
    <definedName name="_xlnm._FilterDatabase" localSheetId="0" hidden="1">'Scores'!$A$2:$M$364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  <b val="1"/>
      <color rgb="000000FF"/>
    </font>
    <font>
      <name val="Arial"/>
      <b val="1"/>
      <color rgb="00FFFF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2" fontId="0" fillId="0" borderId="0" pivotButton="0" quotePrefix="0" xfId="0"/>
    <xf numFmtId="2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4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D1" s="1" t="inlineStr">
        <is>
          <t>Weights</t>
        </is>
      </c>
      <c r="E1" s="2" t="n">
        <v>1</v>
      </c>
      <c r="F1" s="2" t="n">
        <v>1</v>
      </c>
      <c r="G1" s="2" t="n">
        <v>1</v>
      </c>
      <c r="H1" s="2" t="n">
        <v>1</v>
      </c>
      <c r="I1" s="2" t="n">
        <v>1</v>
      </c>
    </row>
    <row r="2">
      <c r="A2" s="3" t="inlineStr">
        <is>
          <t>Rank</t>
        </is>
      </c>
      <c r="B2" s="3" t="inlineStr">
        <is>
          <t>Ticker</t>
        </is>
      </c>
      <c r="C2" s="3" t="inlineStr">
        <is>
          <t>Name</t>
        </is>
      </c>
      <c r="D2" s="3" t="inlineStr">
        <is>
          <t>Region</t>
        </is>
      </c>
      <c r="E2" s="3" t="inlineStr">
        <is>
          <t>Value</t>
        </is>
      </c>
      <c r="F2" s="3" t="inlineStr">
        <is>
          <t>Momentum</t>
        </is>
      </c>
      <c r="G2" s="3" t="inlineStr">
        <is>
          <t>Quality</t>
        </is>
      </c>
      <c r="H2" s="3" t="inlineStr">
        <is>
          <t>Low Vol</t>
        </is>
      </c>
      <c r="I2" s="3" t="inlineStr">
        <is>
          <t>Skin in Game</t>
        </is>
      </c>
      <c r="J2" s="3" t="inlineStr">
        <is>
          <t>Coverage</t>
        </is>
      </c>
      <c r="K2" s="3" t="inlineStr">
        <is>
          <t>Total</t>
        </is>
      </c>
      <c r="L2" s="3" t="inlineStr">
        <is>
          <t>Total (cov-adj)</t>
        </is>
      </c>
      <c r="M2" s="3" t="inlineStr">
        <is>
          <t>Weighted</t>
        </is>
      </c>
    </row>
    <row r="3">
      <c r="A3" s="4" t="n">
        <v>1</v>
      </c>
      <c r="B3" s="4" t="inlineStr">
        <is>
          <t>PGR</t>
        </is>
      </c>
      <c r="C3" s="4" t="inlineStr">
        <is>
          <t>Progressive Corporation</t>
        </is>
      </c>
      <c r="D3" s="4" t="inlineStr">
        <is>
          <t>US</t>
        </is>
      </c>
      <c r="E3" s="5" t="n">
        <v>7</v>
      </c>
      <c r="F3" s="5" t="n">
        <v>10</v>
      </c>
      <c r="G3" s="5" t="n">
        <v>9</v>
      </c>
      <c r="H3" s="5" t="n">
        <v>9</v>
      </c>
      <c r="I3" s="5" t="n"/>
      <c r="J3" s="6">
        <f>COUNT(E3:I3)</f>
        <v/>
      </c>
      <c r="K3" s="7">
        <f>SUM(E3:I3)</f>
        <v/>
      </c>
      <c r="L3" s="8">
        <f>IF(J3=0,"",K3*5/J3)</f>
        <v/>
      </c>
      <c r="M3" s="8">
        <f>SUMPRODUCT($E$1:$I$1,E3:I3)</f>
        <v/>
      </c>
    </row>
    <row r="4">
      <c r="A4" s="4" t="n">
        <v>2</v>
      </c>
      <c r="B4" s="4" t="inlineStr">
        <is>
          <t>ACN</t>
        </is>
      </c>
      <c r="C4" s="4" t="inlineStr">
        <is>
          <t>Accenture</t>
        </is>
      </c>
      <c r="D4" s="4" t="inlineStr">
        <is>
          <t>US</t>
        </is>
      </c>
      <c r="E4" s="5" t="n">
        <v>8</v>
      </c>
      <c r="F4" s="5" t="n">
        <v>8</v>
      </c>
      <c r="G4" s="5" t="n">
        <v>8</v>
      </c>
      <c r="H4" s="5" t="n">
        <v>10</v>
      </c>
      <c r="I4" s="5" t="n"/>
      <c r="J4" s="6">
        <f>COUNT(E4:I4)</f>
        <v/>
      </c>
      <c r="K4" s="7">
        <f>SUM(E4:I4)</f>
        <v/>
      </c>
      <c r="L4" s="8">
        <f>IF(J4=0,"",K4*5/J4)</f>
        <v/>
      </c>
      <c r="M4" s="8">
        <f>SUMPRODUCT($E$1:$I$1,E4:I4)</f>
        <v/>
      </c>
    </row>
    <row r="5">
      <c r="A5" s="4" t="n">
        <v>3</v>
      </c>
      <c r="B5" s="4" t="inlineStr">
        <is>
          <t>ALL</t>
        </is>
      </c>
      <c r="C5" s="4" t="inlineStr">
        <is>
          <t>Allstate</t>
        </is>
      </c>
      <c r="D5" s="4" t="inlineStr">
        <is>
          <t>US</t>
        </is>
      </c>
      <c r="E5" s="5" t="n">
        <v>9</v>
      </c>
      <c r="F5" s="5" t="n">
        <v>7</v>
      </c>
      <c r="G5" s="5" t="n">
        <v>9</v>
      </c>
      <c r="H5" s="5" t="n">
        <v>9</v>
      </c>
      <c r="I5" s="5" t="n"/>
      <c r="J5" s="6">
        <f>COUNT(E5:I5)</f>
        <v/>
      </c>
      <c r="K5" s="7">
        <f>SUM(E5:I5)</f>
        <v/>
      </c>
      <c r="L5" s="8">
        <f>IF(J5=0,"",K5*5/J5)</f>
        <v/>
      </c>
      <c r="M5" s="8">
        <f>SUMPRODUCT($E$1:$I$1,E5:I5)</f>
        <v/>
      </c>
    </row>
    <row r="6">
      <c r="A6" s="4" t="n">
        <v>4</v>
      </c>
      <c r="B6" s="4" t="inlineStr">
        <is>
          <t>FIS</t>
        </is>
      </c>
      <c r="C6" s="4" t="inlineStr">
        <is>
          <t>Fidelity National Information Services</t>
        </is>
      </c>
      <c r="D6" s="4" t="inlineStr">
        <is>
          <t>US</t>
        </is>
      </c>
      <c r="E6" s="5" t="n">
        <v>10</v>
      </c>
      <c r="F6" s="5" t="n">
        <v>7</v>
      </c>
      <c r="G6" s="5" t="n">
        <v>6</v>
      </c>
      <c r="H6" s="5" t="n">
        <v>10</v>
      </c>
      <c r="I6" s="5" t="n"/>
      <c r="J6" s="6">
        <f>COUNT(E6:I6)</f>
        <v/>
      </c>
      <c r="K6" s="7">
        <f>SUM(E6:I6)</f>
        <v/>
      </c>
      <c r="L6" s="8">
        <f>IF(J6=0,"",K6*5/J6)</f>
        <v/>
      </c>
      <c r="M6" s="8">
        <f>SUMPRODUCT($E$1:$I$1,E6:I6)</f>
        <v/>
      </c>
    </row>
    <row r="7">
      <c r="A7" s="4" t="n">
        <v>5</v>
      </c>
      <c r="B7" s="4" t="inlineStr">
        <is>
          <t>AVY</t>
        </is>
      </c>
      <c r="C7" s="4" t="inlineStr">
        <is>
          <t>Avery Dennison</t>
        </is>
      </c>
      <c r="D7" s="4" t="inlineStr">
        <is>
          <t>US</t>
        </is>
      </c>
      <c r="E7" s="5" t="n">
        <v>6</v>
      </c>
      <c r="F7" s="5" t="n">
        <v>10</v>
      </c>
      <c r="G7" s="5" t="n">
        <v>8</v>
      </c>
      <c r="H7" s="5" t="n">
        <v>9</v>
      </c>
      <c r="I7" s="5" t="n"/>
      <c r="J7" s="6">
        <f>COUNT(E7:I7)</f>
        <v/>
      </c>
      <c r="K7" s="7">
        <f>SUM(E7:I7)</f>
        <v/>
      </c>
      <c r="L7" s="8">
        <f>IF(J7=0,"",K7*5/J7)</f>
        <v/>
      </c>
      <c r="M7" s="8">
        <f>SUMPRODUCT($E$1:$I$1,E7:I7)</f>
        <v/>
      </c>
    </row>
    <row r="8">
      <c r="A8" s="4" t="n">
        <v>6</v>
      </c>
      <c r="B8" s="4" t="inlineStr">
        <is>
          <t>TROW</t>
        </is>
      </c>
      <c r="C8" s="4" t="inlineStr">
        <is>
          <t>T. Rowe Price</t>
        </is>
      </c>
      <c r="D8" s="4" t="inlineStr">
        <is>
          <t>US</t>
        </is>
      </c>
      <c r="E8" s="5" t="n">
        <v>9</v>
      </c>
      <c r="F8" s="5" t="n">
        <v>10</v>
      </c>
      <c r="G8" s="5" t="n">
        <v>7</v>
      </c>
      <c r="H8" s="5" t="n">
        <v>6</v>
      </c>
      <c r="I8" s="5" t="n"/>
      <c r="J8" s="6">
        <f>COUNT(E8:I8)</f>
        <v/>
      </c>
      <c r="K8" s="7">
        <f>SUM(E8:I8)</f>
        <v/>
      </c>
      <c r="L8" s="8">
        <f>IF(J8=0,"",K8*5/J8)</f>
        <v/>
      </c>
      <c r="M8" s="8">
        <f>SUMPRODUCT($E$1:$I$1,E8:I8)</f>
        <v/>
      </c>
    </row>
    <row r="9">
      <c r="A9" s="4" t="n">
        <v>7</v>
      </c>
      <c r="B9" s="4" t="inlineStr">
        <is>
          <t>ZTS</t>
        </is>
      </c>
      <c r="C9" s="4" t="inlineStr">
        <is>
          <t>Zoetis</t>
        </is>
      </c>
      <c r="D9" s="4" t="inlineStr">
        <is>
          <t>US</t>
        </is>
      </c>
      <c r="E9" s="5" t="n">
        <v>6</v>
      </c>
      <c r="F9" s="5" t="n">
        <v>8</v>
      </c>
      <c r="G9" s="5" t="n">
        <v>10</v>
      </c>
      <c r="H9" s="5" t="n">
        <v>8</v>
      </c>
      <c r="I9" s="5" t="n"/>
      <c r="J9" s="6">
        <f>COUNT(E9:I9)</f>
        <v/>
      </c>
      <c r="K9" s="7">
        <f>SUM(E9:I9)</f>
        <v/>
      </c>
      <c r="L9" s="8">
        <f>IF(J9=0,"",K9*5/J9)</f>
        <v/>
      </c>
      <c r="M9" s="8">
        <f>SUMPRODUCT($E$1:$I$1,E9:I9)</f>
        <v/>
      </c>
    </row>
    <row r="10">
      <c r="A10" s="4" t="n">
        <v>8</v>
      </c>
      <c r="B10" s="4" t="inlineStr">
        <is>
          <t>AFL</t>
        </is>
      </c>
      <c r="C10" s="4" t="inlineStr">
        <is>
          <t>Aflac</t>
        </is>
      </c>
      <c r="D10" s="4" t="inlineStr">
        <is>
          <t>US</t>
        </is>
      </c>
      <c r="E10" s="5" t="n">
        <v>8</v>
      </c>
      <c r="F10" s="5" t="n">
        <v>8</v>
      </c>
      <c r="G10" s="5" t="n">
        <v>6</v>
      </c>
      <c r="H10" s="5" t="n">
        <v>10</v>
      </c>
      <c r="I10" s="5" t="n"/>
      <c r="J10" s="6">
        <f>COUNT(E10:I10)</f>
        <v/>
      </c>
      <c r="K10" s="7">
        <f>SUM(E10:I10)</f>
        <v/>
      </c>
      <c r="L10" s="8">
        <f>IF(J10=0,"",K10*5/J10)</f>
        <v/>
      </c>
      <c r="M10" s="8">
        <f>SUMPRODUCT($E$1:$I$1,E10:I10)</f>
        <v/>
      </c>
    </row>
    <row r="11">
      <c r="A11" s="4" t="n">
        <v>9</v>
      </c>
      <c r="B11" s="4" t="inlineStr">
        <is>
          <t>NOC</t>
        </is>
      </c>
      <c r="C11" s="4" t="inlineStr">
        <is>
          <t>Northrop Grumman</t>
        </is>
      </c>
      <c r="D11" s="4" t="inlineStr">
        <is>
          <t>US</t>
        </is>
      </c>
      <c r="E11" s="5" t="n">
        <v>7</v>
      </c>
      <c r="F11" s="5" t="n">
        <v>8</v>
      </c>
      <c r="G11" s="5" t="n">
        <v>8</v>
      </c>
      <c r="H11" s="5" t="n">
        <v>9</v>
      </c>
      <c r="I11" s="5" t="n"/>
      <c r="J11" s="6">
        <f>COUNT(E11:I11)</f>
        <v/>
      </c>
      <c r="K11" s="7">
        <f>SUM(E11:I11)</f>
        <v/>
      </c>
      <c r="L11" s="8">
        <f>IF(J11=0,"",K11*5/J11)</f>
        <v/>
      </c>
      <c r="M11" s="8">
        <f>SUMPRODUCT($E$1:$I$1,E11:I11)</f>
        <v/>
      </c>
    </row>
    <row r="12">
      <c r="A12" s="4" t="n">
        <v>10</v>
      </c>
      <c r="B12" s="4" t="inlineStr">
        <is>
          <t>V</t>
        </is>
      </c>
      <c r="C12" s="4" t="inlineStr">
        <is>
          <t>Visa Inc.</t>
        </is>
      </c>
      <c r="D12" s="4" t="inlineStr">
        <is>
          <t>US</t>
        </is>
      </c>
      <c r="E12" s="5" t="n">
        <v>3</v>
      </c>
      <c r="F12" s="5" t="n">
        <v>9</v>
      </c>
      <c r="G12" s="5" t="n">
        <v>10</v>
      </c>
      <c r="H12" s="5" t="n">
        <v>10</v>
      </c>
      <c r="I12" s="5" t="n"/>
      <c r="J12" s="6">
        <f>COUNT(E12:I12)</f>
        <v/>
      </c>
      <c r="K12" s="7">
        <f>SUM(E12:I12)</f>
        <v/>
      </c>
      <c r="L12" s="8">
        <f>IF(J12=0,"",K12*5/J12)</f>
        <v/>
      </c>
      <c r="M12" s="8">
        <f>SUMPRODUCT($E$1:$I$1,E12:I12)</f>
        <v/>
      </c>
    </row>
    <row r="13">
      <c r="A13" s="4" t="n">
        <v>11</v>
      </c>
      <c r="B13" s="4" t="inlineStr">
        <is>
          <t>STZ</t>
        </is>
      </c>
      <c r="C13" s="4" t="inlineStr">
        <is>
          <t>Constellation Brands</t>
        </is>
      </c>
      <c r="D13" s="4" t="inlineStr">
        <is>
          <t>US</t>
        </is>
      </c>
      <c r="E13" s="5" t="n">
        <v>7</v>
      </c>
      <c r="F13" s="5" t="n">
        <v>9</v>
      </c>
      <c r="G13" s="5" t="n">
        <v>7</v>
      </c>
      <c r="H13" s="5" t="n">
        <v>8</v>
      </c>
      <c r="I13" s="5" t="n"/>
      <c r="J13" s="6">
        <f>COUNT(E13:I13)</f>
        <v/>
      </c>
      <c r="K13" s="7">
        <f>SUM(E13:I13)</f>
        <v/>
      </c>
      <c r="L13" s="8">
        <f>IF(J13=0,"",K13*5/J13)</f>
        <v/>
      </c>
      <c r="M13" s="8">
        <f>SUMPRODUCT($E$1:$I$1,E13:I13)</f>
        <v/>
      </c>
    </row>
    <row r="14">
      <c r="A14" s="4" t="n">
        <v>12</v>
      </c>
      <c r="B14" s="4" t="inlineStr">
        <is>
          <t>LMT</t>
        </is>
      </c>
      <c r="C14" s="4" t="inlineStr">
        <is>
          <t>Lockheed Martin</t>
        </is>
      </c>
      <c r="D14" s="4" t="inlineStr">
        <is>
          <t>US</t>
        </is>
      </c>
      <c r="E14" s="5" t="n">
        <v>4</v>
      </c>
      <c r="F14" s="5" t="n">
        <v>7</v>
      </c>
      <c r="G14" s="5" t="n">
        <v>10</v>
      </c>
      <c r="H14" s="5" t="n">
        <v>10</v>
      </c>
      <c r="I14" s="5" t="n"/>
      <c r="J14" s="6">
        <f>COUNT(E14:I14)</f>
        <v/>
      </c>
      <c r="K14" s="7">
        <f>SUM(E14:I14)</f>
        <v/>
      </c>
      <c r="L14" s="8">
        <f>IF(J14=0,"",K14*5/J14)</f>
        <v/>
      </c>
      <c r="M14" s="8">
        <f>SUMPRODUCT($E$1:$I$1,E14:I14)</f>
        <v/>
      </c>
    </row>
    <row r="15">
      <c r="A15" s="4" t="n">
        <v>13</v>
      </c>
      <c r="B15" s="4" t="inlineStr">
        <is>
          <t>HON</t>
        </is>
      </c>
      <c r="C15" s="4" t="inlineStr">
        <is>
          <t>Honeywell</t>
        </is>
      </c>
      <c r="D15" s="4" t="inlineStr">
        <is>
          <t>US</t>
        </is>
      </c>
      <c r="E15" s="5" t="n">
        <v>6</v>
      </c>
      <c r="F15" s="5" t="n">
        <v>7</v>
      </c>
      <c r="G15" s="5" t="n">
        <v>8</v>
      </c>
      <c r="H15" s="5" t="n">
        <v>10</v>
      </c>
      <c r="I15" s="5" t="n"/>
      <c r="J15" s="6">
        <f>COUNT(E15:I15)</f>
        <v/>
      </c>
      <c r="K15" s="7">
        <f>SUM(E15:I15)</f>
        <v/>
      </c>
      <c r="L15" s="8">
        <f>IF(J15=0,"",K15*5/J15)</f>
        <v/>
      </c>
      <c r="M15" s="8">
        <f>SUMPRODUCT($E$1:$I$1,E15:I15)</f>
        <v/>
      </c>
    </row>
    <row r="16">
      <c r="A16" s="4" t="n">
        <v>14</v>
      </c>
      <c r="B16" s="4" t="inlineStr">
        <is>
          <t>MA</t>
        </is>
      </c>
      <c r="C16" s="4" t="inlineStr">
        <is>
          <t>Mastercard</t>
        </is>
      </c>
      <c r="D16" s="4" t="inlineStr">
        <is>
          <t>US</t>
        </is>
      </c>
      <c r="E16" s="5" t="n">
        <v>2</v>
      </c>
      <c r="F16" s="5" t="n">
        <v>10</v>
      </c>
      <c r="G16" s="5" t="n">
        <v>10</v>
      </c>
      <c r="H16" s="5" t="n">
        <v>9</v>
      </c>
      <c r="I16" s="5" t="n"/>
      <c r="J16" s="6">
        <f>COUNT(E16:I16)</f>
        <v/>
      </c>
      <c r="K16" s="7">
        <f>SUM(E16:I16)</f>
        <v/>
      </c>
      <c r="L16" s="8">
        <f>IF(J16=0,"",K16*5/J16)</f>
        <v/>
      </c>
      <c r="M16" s="8">
        <f>SUMPRODUCT($E$1:$I$1,E16:I16)</f>
        <v/>
      </c>
    </row>
    <row r="17">
      <c r="A17" s="4" t="n">
        <v>15</v>
      </c>
      <c r="B17" s="4" t="inlineStr">
        <is>
          <t>CTSH</t>
        </is>
      </c>
      <c r="C17" s="4" t="inlineStr">
        <is>
          <t>Cognizant</t>
        </is>
      </c>
      <c r="D17" s="4" t="inlineStr">
        <is>
          <t>US</t>
        </is>
      </c>
      <c r="E17" s="5" t="n">
        <v>10</v>
      </c>
      <c r="F17" s="5" t="n">
        <v>8</v>
      </c>
      <c r="G17" s="5" t="n">
        <v>5</v>
      </c>
      <c r="H17" s="5" t="n">
        <v>8</v>
      </c>
      <c r="I17" s="5" t="n"/>
      <c r="J17" s="6">
        <f>COUNT(E17:I17)</f>
        <v/>
      </c>
      <c r="K17" s="7">
        <f>SUM(E17:I17)</f>
        <v/>
      </c>
      <c r="L17" s="8">
        <f>IF(J17=0,"",K17*5/J17)</f>
        <v/>
      </c>
      <c r="M17" s="8">
        <f>SUMPRODUCT($E$1:$I$1,E17:I17)</f>
        <v/>
      </c>
    </row>
    <row r="18">
      <c r="A18" s="4" t="n">
        <v>16</v>
      </c>
      <c r="B18" s="4" t="inlineStr">
        <is>
          <t>TEL</t>
        </is>
      </c>
      <c r="C18" s="4" t="inlineStr">
        <is>
          <t>TE Connectivity</t>
        </is>
      </c>
      <c r="D18" s="4" t="inlineStr">
        <is>
          <t>US</t>
        </is>
      </c>
      <c r="E18" s="5" t="n">
        <v>6</v>
      </c>
      <c r="F18" s="5" t="n">
        <v>8</v>
      </c>
      <c r="G18" s="5" t="n">
        <v>7</v>
      </c>
      <c r="H18" s="5" t="n">
        <v>9</v>
      </c>
      <c r="I18" s="5" t="n"/>
      <c r="J18" s="6">
        <f>COUNT(E18:I18)</f>
        <v/>
      </c>
      <c r="K18" s="7">
        <f>SUM(E18:I18)</f>
        <v/>
      </c>
      <c r="L18" s="8">
        <f>IF(J18=0,"",K18*5/J18)</f>
        <v/>
      </c>
      <c r="M18" s="8">
        <f>SUMPRODUCT($E$1:$I$1,E18:I18)</f>
        <v/>
      </c>
    </row>
    <row r="19">
      <c r="A19" s="4" t="n">
        <v>17</v>
      </c>
      <c r="B19" s="4" t="inlineStr">
        <is>
          <t>PYPL</t>
        </is>
      </c>
      <c r="C19" s="4" t="inlineStr">
        <is>
          <t>PayPal</t>
        </is>
      </c>
      <c r="D19" s="4" t="inlineStr">
        <is>
          <t>US</t>
        </is>
      </c>
      <c r="E19" s="5" t="n">
        <v>9</v>
      </c>
      <c r="F19" s="5" t="n">
        <v>10</v>
      </c>
      <c r="G19" s="5" t="n">
        <v>8</v>
      </c>
      <c r="H19" s="5" t="n">
        <v>3</v>
      </c>
      <c r="I19" s="5" t="n"/>
      <c r="J19" s="6">
        <f>COUNT(E19:I19)</f>
        <v/>
      </c>
      <c r="K19" s="7">
        <f>SUM(E19:I19)</f>
        <v/>
      </c>
      <c r="L19" s="8">
        <f>IF(J19=0,"",K19*5/J19)</f>
        <v/>
      </c>
      <c r="M19" s="8">
        <f>SUMPRODUCT($E$1:$I$1,E19:I19)</f>
        <v/>
      </c>
    </row>
    <row r="20">
      <c r="A20" s="4" t="n">
        <v>18</v>
      </c>
      <c r="B20" s="4" t="inlineStr">
        <is>
          <t>PHM</t>
        </is>
      </c>
      <c r="C20" s="4" t="inlineStr">
        <is>
          <t>PulteGroup</t>
        </is>
      </c>
      <c r="D20" s="4" t="inlineStr">
        <is>
          <t>US</t>
        </is>
      </c>
      <c r="E20" s="5" t="n">
        <v>9</v>
      </c>
      <c r="F20" s="5" t="n">
        <v>10</v>
      </c>
      <c r="G20" s="5" t="n">
        <v>6</v>
      </c>
      <c r="H20" s="5" t="n">
        <v>5</v>
      </c>
      <c r="I20" s="5" t="n"/>
      <c r="J20" s="6">
        <f>COUNT(E20:I20)</f>
        <v/>
      </c>
      <c r="K20" s="7">
        <f>SUM(E20:I20)</f>
        <v/>
      </c>
      <c r="L20" s="8">
        <f>IF(J20=0,"",K20*5/J20)</f>
        <v/>
      </c>
      <c r="M20" s="8">
        <f>SUMPRODUCT($E$1:$I$1,E20:I20)</f>
        <v/>
      </c>
    </row>
    <row r="21">
      <c r="A21" s="4" t="n">
        <v>19</v>
      </c>
      <c r="B21" s="4" t="inlineStr">
        <is>
          <t>IT</t>
        </is>
      </c>
      <c r="C21" s="4" t="inlineStr">
        <is>
          <t>Gartner</t>
        </is>
      </c>
      <c r="D21" s="4" t="inlineStr">
        <is>
          <t>US</t>
        </is>
      </c>
      <c r="E21" s="5" t="n">
        <v>5</v>
      </c>
      <c r="F21" s="5" t="n">
        <v>8</v>
      </c>
      <c r="G21" s="5" t="n">
        <v>10</v>
      </c>
      <c r="H21" s="5" t="n">
        <v>7</v>
      </c>
      <c r="I21" s="5" t="n"/>
      <c r="J21" s="6">
        <f>COUNT(E21:I21)</f>
        <v/>
      </c>
      <c r="K21" s="7">
        <f>SUM(E21:I21)</f>
        <v/>
      </c>
      <c r="L21" s="8">
        <f>IF(J21=0,"",K21*5/J21)</f>
        <v/>
      </c>
      <c r="M21" s="8">
        <f>SUMPRODUCT($E$1:$I$1,E21:I21)</f>
        <v/>
      </c>
    </row>
    <row r="22">
      <c r="A22" s="4" t="n">
        <v>20</v>
      </c>
      <c r="B22" s="4" t="inlineStr">
        <is>
          <t>AMP</t>
        </is>
      </c>
      <c r="C22" s="4" t="inlineStr">
        <is>
          <t>Ameriprise Financial</t>
        </is>
      </c>
      <c r="D22" s="4" t="inlineStr">
        <is>
          <t>US</t>
        </is>
      </c>
      <c r="E22" s="5" t="n">
        <v>7</v>
      </c>
      <c r="F22" s="5" t="n">
        <v>9</v>
      </c>
      <c r="G22" s="5" t="n">
        <v>10</v>
      </c>
      <c r="H22" s="5" t="n">
        <v>4</v>
      </c>
      <c r="I22" s="5" t="n"/>
      <c r="J22" s="6">
        <f>COUNT(E22:I22)</f>
        <v/>
      </c>
      <c r="K22" s="7">
        <f>SUM(E22:I22)</f>
        <v/>
      </c>
      <c r="L22" s="8">
        <f>IF(J22=0,"",K22*5/J22)</f>
        <v/>
      </c>
      <c r="M22" s="8">
        <f>SUMPRODUCT($E$1:$I$1,E22:I22)</f>
        <v/>
      </c>
    </row>
    <row r="23">
      <c r="A23" s="4" t="n">
        <v>21</v>
      </c>
      <c r="B23" s="4" t="inlineStr">
        <is>
          <t>MSFT</t>
        </is>
      </c>
      <c r="C23" s="4" t="inlineStr">
        <is>
          <t>Microsoft</t>
        </is>
      </c>
      <c r="D23" s="4" t="inlineStr">
        <is>
          <t>US</t>
        </is>
      </c>
      <c r="E23" s="5" t="n">
        <v>5</v>
      </c>
      <c r="F23" s="5" t="n">
        <v>9</v>
      </c>
      <c r="G23" s="5" t="n">
        <v>8</v>
      </c>
      <c r="H23" s="5" t="n">
        <v>8</v>
      </c>
      <c r="I23" s="5" t="n"/>
      <c r="J23" s="6">
        <f>COUNT(E23:I23)</f>
        <v/>
      </c>
      <c r="K23" s="7">
        <f>SUM(E23:I23)</f>
        <v/>
      </c>
      <c r="L23" s="8">
        <f>IF(J23=0,"",K23*5/J23)</f>
        <v/>
      </c>
      <c r="M23" s="8">
        <f>SUMPRODUCT($E$1:$I$1,E23:I23)</f>
        <v/>
      </c>
    </row>
    <row r="24">
      <c r="A24" s="4" t="n">
        <v>22</v>
      </c>
      <c r="B24" s="4" t="inlineStr">
        <is>
          <t>HD</t>
        </is>
      </c>
      <c r="C24" s="4" t="inlineStr">
        <is>
          <t>Home Depot (The)</t>
        </is>
      </c>
      <c r="D24" s="4" t="inlineStr">
        <is>
          <t>US</t>
        </is>
      </c>
      <c r="E24" s="5" t="n">
        <v>3</v>
      </c>
      <c r="F24" s="5" t="n">
        <v>9</v>
      </c>
      <c r="G24" s="5" t="n">
        <v>10</v>
      </c>
      <c r="H24" s="5" t="n">
        <v>8</v>
      </c>
      <c r="I24" s="5" t="n"/>
      <c r="J24" s="6">
        <f>COUNT(E24:I24)</f>
        <v/>
      </c>
      <c r="K24" s="7">
        <f>SUM(E24:I24)</f>
        <v/>
      </c>
      <c r="L24" s="8">
        <f>IF(J24=0,"",K24*5/J24)</f>
        <v/>
      </c>
      <c r="M24" s="8">
        <f>SUMPRODUCT($E$1:$I$1,E24:I24)</f>
        <v/>
      </c>
    </row>
    <row r="25">
      <c r="A25" s="4" t="n">
        <v>23</v>
      </c>
      <c r="B25" s="4" t="inlineStr">
        <is>
          <t>ITW</t>
        </is>
      </c>
      <c r="C25" s="4" t="inlineStr">
        <is>
          <t>Illinois Tool Works</t>
        </is>
      </c>
      <c r="D25" s="4" t="inlineStr">
        <is>
          <t>US</t>
        </is>
      </c>
      <c r="E25" s="5" t="n">
        <v>3</v>
      </c>
      <c r="F25" s="5" t="n">
        <v>8</v>
      </c>
      <c r="G25" s="5" t="n">
        <v>10</v>
      </c>
      <c r="H25" s="5" t="n">
        <v>9</v>
      </c>
      <c r="I25" s="5" t="n"/>
      <c r="J25" s="6">
        <f>COUNT(E25:I25)</f>
        <v/>
      </c>
      <c r="K25" s="7">
        <f>SUM(E25:I25)</f>
        <v/>
      </c>
      <c r="L25" s="8">
        <f>IF(J25=0,"",K25*5/J25)</f>
        <v/>
      </c>
      <c r="M25" s="8">
        <f>SUMPRODUCT($E$1:$I$1,E25:I25)</f>
        <v/>
      </c>
    </row>
    <row r="26">
      <c r="A26" s="4" t="n">
        <v>24</v>
      </c>
      <c r="B26" s="4" t="inlineStr">
        <is>
          <t>HIG</t>
        </is>
      </c>
      <c r="C26" s="4" t="inlineStr">
        <is>
          <t>Hartford (The)</t>
        </is>
      </c>
      <c r="D26" s="4" t="inlineStr">
        <is>
          <t>US</t>
        </is>
      </c>
      <c r="E26" s="5" t="n">
        <v>9</v>
      </c>
      <c r="F26" s="5" t="n">
        <v>5</v>
      </c>
      <c r="G26" s="5" t="n">
        <v>7</v>
      </c>
      <c r="H26" s="5" t="n">
        <v>9</v>
      </c>
      <c r="I26" s="5" t="n"/>
      <c r="J26" s="6">
        <f>COUNT(E26:I26)</f>
        <v/>
      </c>
      <c r="K26" s="7">
        <f>SUM(E26:I26)</f>
        <v/>
      </c>
      <c r="L26" s="8">
        <f>IF(J26=0,"",K26*5/J26)</f>
        <v/>
      </c>
      <c r="M26" s="8">
        <f>SUMPRODUCT($E$1:$I$1,E26:I26)</f>
        <v/>
      </c>
    </row>
    <row r="27">
      <c r="A27" s="4" t="n">
        <v>25</v>
      </c>
      <c r="B27" s="4" t="inlineStr">
        <is>
          <t>AON</t>
        </is>
      </c>
      <c r="C27" s="4" t="inlineStr">
        <is>
          <t>Aon</t>
        </is>
      </c>
      <c r="D27" s="4" t="inlineStr">
        <is>
          <t>US</t>
        </is>
      </c>
      <c r="E27" s="5" t="n">
        <v>5</v>
      </c>
      <c r="F27" s="5" t="n">
        <v>6</v>
      </c>
      <c r="G27" s="5" t="n">
        <v>9</v>
      </c>
      <c r="H27" s="5" t="n">
        <v>10</v>
      </c>
      <c r="I27" s="5" t="n"/>
      <c r="J27" s="6">
        <f>COUNT(E27:I27)</f>
        <v/>
      </c>
      <c r="K27" s="7">
        <f>SUM(E27:I27)</f>
        <v/>
      </c>
      <c r="L27" s="8">
        <f>IF(J27=0,"",K27*5/J27)</f>
        <v/>
      </c>
      <c r="M27" s="8">
        <f>SUMPRODUCT($E$1:$I$1,E27:I27)</f>
        <v/>
      </c>
    </row>
    <row r="28">
      <c r="A28" s="4" t="n">
        <v>26</v>
      </c>
      <c r="B28" s="4" t="inlineStr">
        <is>
          <t>CI</t>
        </is>
      </c>
      <c r="C28" s="4" t="inlineStr">
        <is>
          <t>Cigna</t>
        </is>
      </c>
      <c r="D28" s="4" t="inlineStr">
        <is>
          <t>US</t>
        </is>
      </c>
      <c r="E28" s="5" t="n">
        <v>9</v>
      </c>
      <c r="F28" s="5" t="n">
        <v>9</v>
      </c>
      <c r="G28" s="5" t="n">
        <v>5</v>
      </c>
      <c r="H28" s="5" t="n">
        <v>6</v>
      </c>
      <c r="I28" s="5" t="n"/>
      <c r="J28" s="6">
        <f>COUNT(E28:I28)</f>
        <v/>
      </c>
      <c r="K28" s="7">
        <f>SUM(E28:I28)</f>
        <v/>
      </c>
      <c r="L28" s="8">
        <f>IF(J28=0,"",K28*5/J28)</f>
        <v/>
      </c>
      <c r="M28" s="8">
        <f>SUMPRODUCT($E$1:$I$1,E28:I28)</f>
        <v/>
      </c>
    </row>
    <row r="29">
      <c r="A29" s="4" t="n">
        <v>27</v>
      </c>
      <c r="B29" s="4" t="inlineStr">
        <is>
          <t>MMM</t>
        </is>
      </c>
      <c r="C29" s="4" t="inlineStr">
        <is>
          <t>3M</t>
        </is>
      </c>
      <c r="D29" s="4" t="inlineStr">
        <is>
          <t>US</t>
        </is>
      </c>
      <c r="E29" s="5" t="n">
        <v>2</v>
      </c>
      <c r="F29" s="5" t="n">
        <v>8</v>
      </c>
      <c r="G29" s="5" t="n">
        <v>10</v>
      </c>
      <c r="H29" s="5" t="n">
        <v>9</v>
      </c>
      <c r="I29" s="5" t="n"/>
      <c r="J29" s="6">
        <f>COUNT(E29:I29)</f>
        <v/>
      </c>
      <c r="K29" s="7">
        <f>SUM(E29:I29)</f>
        <v/>
      </c>
      <c r="L29" s="8">
        <f>IF(J29=0,"",K29*5/J29)</f>
        <v/>
      </c>
      <c r="M29" s="8">
        <f>SUMPRODUCT($E$1:$I$1,E29:I29)</f>
        <v/>
      </c>
    </row>
    <row r="30">
      <c r="A30" s="4" t="n">
        <v>28</v>
      </c>
      <c r="B30" s="4" t="inlineStr">
        <is>
          <t>CRM</t>
        </is>
      </c>
      <c r="C30" s="4" t="inlineStr">
        <is>
          <t>Salesforce</t>
        </is>
      </c>
      <c r="D30" s="4" t="inlineStr">
        <is>
          <t>US</t>
        </is>
      </c>
      <c r="E30" s="5" t="n">
        <v>6</v>
      </c>
      <c r="F30" s="5" t="n">
        <v>8</v>
      </c>
      <c r="G30" s="5" t="n">
        <v>7</v>
      </c>
      <c r="H30" s="5" t="n">
        <v>8</v>
      </c>
      <c r="I30" s="5" t="n"/>
      <c r="J30" s="6">
        <f>COUNT(E30:I30)</f>
        <v/>
      </c>
      <c r="K30" s="7">
        <f>SUM(E30:I30)</f>
        <v/>
      </c>
      <c r="L30" s="8">
        <f>IF(J30=0,"",K30*5/J30)</f>
        <v/>
      </c>
      <c r="M30" s="8">
        <f>SUMPRODUCT($E$1:$I$1,E30:I30)</f>
        <v/>
      </c>
    </row>
    <row r="31">
      <c r="A31" s="4" t="n">
        <v>29</v>
      </c>
      <c r="B31" s="4" t="inlineStr">
        <is>
          <t>CBOE</t>
        </is>
      </c>
      <c r="C31" s="4" t="inlineStr">
        <is>
          <t>Cboe Global Markets</t>
        </is>
      </c>
      <c r="D31" s="4" t="inlineStr">
        <is>
          <t>US</t>
        </is>
      </c>
      <c r="E31" s="5" t="n">
        <v>5</v>
      </c>
      <c r="F31" s="5" t="n">
        <v>10</v>
      </c>
      <c r="G31" s="5" t="n">
        <v>7</v>
      </c>
      <c r="H31" s="5" t="n">
        <v>7</v>
      </c>
      <c r="I31" s="5" t="n"/>
      <c r="J31" s="6">
        <f>COUNT(E31:I31)</f>
        <v/>
      </c>
      <c r="K31" s="7">
        <f>SUM(E31:I31)</f>
        <v/>
      </c>
      <c r="L31" s="8">
        <f>IF(J31=0,"",K31*5/J31)</f>
        <v/>
      </c>
      <c r="M31" s="8">
        <f>SUMPRODUCT($E$1:$I$1,E31:I31)</f>
        <v/>
      </c>
    </row>
    <row r="32">
      <c r="A32" s="4" t="n">
        <v>30</v>
      </c>
      <c r="B32" s="4" t="inlineStr">
        <is>
          <t>AOS</t>
        </is>
      </c>
      <c r="C32" s="4" t="inlineStr">
        <is>
          <t>A. O. Smith</t>
        </is>
      </c>
      <c r="D32" s="4" t="inlineStr">
        <is>
          <t>US</t>
        </is>
      </c>
      <c r="E32" s="5" t="n">
        <v>6</v>
      </c>
      <c r="F32" s="5" t="n">
        <v>7</v>
      </c>
      <c r="G32" s="5" t="n">
        <v>8</v>
      </c>
      <c r="H32" s="5" t="n">
        <v>8</v>
      </c>
      <c r="I32" s="5" t="n"/>
      <c r="J32" s="6">
        <f>COUNT(E32:I32)</f>
        <v/>
      </c>
      <c r="K32" s="7">
        <f>SUM(E32:I32)</f>
        <v/>
      </c>
      <c r="L32" s="8">
        <f>IF(J32=0,"",K32*5/J32)</f>
        <v/>
      </c>
      <c r="M32" s="8">
        <f>SUMPRODUCT($E$1:$I$1,E32:I32)</f>
        <v/>
      </c>
    </row>
    <row r="33">
      <c r="A33" s="4" t="n">
        <v>31</v>
      </c>
      <c r="B33" s="4" t="inlineStr">
        <is>
          <t>AMT</t>
        </is>
      </c>
      <c r="C33" s="4" t="inlineStr">
        <is>
          <t>American Tower</t>
        </is>
      </c>
      <c r="D33" s="4" t="inlineStr">
        <is>
          <t>US</t>
        </is>
      </c>
      <c r="E33" s="5" t="n">
        <v>3</v>
      </c>
      <c r="F33" s="5" t="n">
        <v>9</v>
      </c>
      <c r="G33" s="5" t="n">
        <v>10</v>
      </c>
      <c r="H33" s="5" t="n">
        <v>7</v>
      </c>
      <c r="I33" s="5" t="n"/>
      <c r="J33" s="6">
        <f>COUNT(E33:I33)</f>
        <v/>
      </c>
      <c r="K33" s="7">
        <f>SUM(E33:I33)</f>
        <v/>
      </c>
      <c r="L33" s="8">
        <f>IF(J33=0,"",K33*5/J33)</f>
        <v/>
      </c>
      <c r="M33" s="8">
        <f>SUMPRODUCT($E$1:$I$1,E33:I33)</f>
        <v/>
      </c>
    </row>
    <row r="34">
      <c r="A34" s="4" t="n">
        <v>32</v>
      </c>
      <c r="B34" s="4" t="inlineStr">
        <is>
          <t>TRV</t>
        </is>
      </c>
      <c r="C34" s="4" t="inlineStr">
        <is>
          <t>Travelers Companies (The)</t>
        </is>
      </c>
      <c r="D34" s="4" t="inlineStr">
        <is>
          <t>US</t>
        </is>
      </c>
      <c r="E34" s="5" t="n">
        <v>9</v>
      </c>
      <c r="F34" s="5" t="n">
        <v>4</v>
      </c>
      <c r="G34" s="5" t="n">
        <v>7</v>
      </c>
      <c r="H34" s="5" t="n">
        <v>9</v>
      </c>
      <c r="I34" s="5" t="n"/>
      <c r="J34" s="6">
        <f>COUNT(E34:I34)</f>
        <v/>
      </c>
      <c r="K34" s="7">
        <f>SUM(E34:I34)</f>
        <v/>
      </c>
      <c r="L34" s="8">
        <f>IF(J34=0,"",K34*5/J34)</f>
        <v/>
      </c>
      <c r="M34" s="8">
        <f>SUMPRODUCT($E$1:$I$1,E34:I34)</f>
        <v/>
      </c>
    </row>
    <row r="35">
      <c r="A35" s="4" t="n">
        <v>33</v>
      </c>
      <c r="B35" s="4" t="inlineStr">
        <is>
          <t>AXP</t>
        </is>
      </c>
      <c r="C35" s="4" t="inlineStr">
        <is>
          <t>American Express</t>
        </is>
      </c>
      <c r="D35" s="4" t="inlineStr">
        <is>
          <t>US</t>
        </is>
      </c>
      <c r="E35" s="5" t="n">
        <v>5</v>
      </c>
      <c r="F35" s="5" t="n">
        <v>7</v>
      </c>
      <c r="G35" s="5" t="n">
        <v>8</v>
      </c>
      <c r="H35" s="5" t="n">
        <v>9</v>
      </c>
      <c r="I35" s="5" t="n"/>
      <c r="J35" s="6">
        <f>COUNT(E35:I35)</f>
        <v/>
      </c>
      <c r="K35" s="7">
        <f>SUM(E35:I35)</f>
        <v/>
      </c>
      <c r="L35" s="8">
        <f>IF(J35=0,"",K35*5/J35)</f>
        <v/>
      </c>
      <c r="M35" s="8">
        <f>SUMPRODUCT($E$1:$I$1,E35:I35)</f>
        <v/>
      </c>
    </row>
    <row r="36">
      <c r="A36" s="4" t="n">
        <v>34</v>
      </c>
      <c r="B36" s="4" t="inlineStr">
        <is>
          <t>INTU</t>
        </is>
      </c>
      <c r="C36" s="4" t="inlineStr">
        <is>
          <t>Intuit</t>
        </is>
      </c>
      <c r="D36" s="4" t="inlineStr">
        <is>
          <t>US</t>
        </is>
      </c>
      <c r="E36" s="5" t="n">
        <v>7</v>
      </c>
      <c r="F36" s="5" t="n">
        <v>9</v>
      </c>
      <c r="G36" s="5" t="n">
        <v>7</v>
      </c>
      <c r="H36" s="5" t="n">
        <v>6</v>
      </c>
      <c r="I36" s="5" t="n"/>
      <c r="J36" s="6">
        <f>COUNT(E36:I36)</f>
        <v/>
      </c>
      <c r="K36" s="7">
        <f>SUM(E36:I36)</f>
        <v/>
      </c>
      <c r="L36" s="8">
        <f>IF(J36=0,"",K36*5/J36)</f>
        <v/>
      </c>
      <c r="M36" s="8">
        <f>SUMPRODUCT($E$1:$I$1,E36:I36)</f>
        <v/>
      </c>
    </row>
    <row r="37">
      <c r="A37" s="4" t="n">
        <v>35</v>
      </c>
      <c r="B37" s="4" t="inlineStr">
        <is>
          <t>MCO</t>
        </is>
      </c>
      <c r="C37" s="4" t="inlineStr">
        <is>
          <t>Moody's Corporation</t>
        </is>
      </c>
      <c r="D37" s="4" t="inlineStr">
        <is>
          <t>US</t>
        </is>
      </c>
      <c r="E37" s="5" t="n">
        <v>2</v>
      </c>
      <c r="F37" s="5" t="n">
        <v>9</v>
      </c>
      <c r="G37" s="5" t="n">
        <v>10</v>
      </c>
      <c r="H37" s="5" t="n">
        <v>8</v>
      </c>
      <c r="I37" s="5" t="n"/>
      <c r="J37" s="6">
        <f>COUNT(E37:I37)</f>
        <v/>
      </c>
      <c r="K37" s="7">
        <f>SUM(E37:I37)</f>
        <v/>
      </c>
      <c r="L37" s="8">
        <f>IF(J37=0,"",K37*5/J37)</f>
        <v/>
      </c>
      <c r="M37" s="8">
        <f>SUMPRODUCT($E$1:$I$1,E37:I37)</f>
        <v/>
      </c>
    </row>
    <row r="38">
      <c r="A38" s="4" t="n">
        <v>36</v>
      </c>
      <c r="B38" s="4" t="inlineStr">
        <is>
          <t>SHW</t>
        </is>
      </c>
      <c r="C38" s="4" t="inlineStr">
        <is>
          <t>Sherwin-Williams</t>
        </is>
      </c>
      <c r="D38" s="4" t="inlineStr">
        <is>
          <t>US</t>
        </is>
      </c>
      <c r="E38" s="5" t="n">
        <v>2</v>
      </c>
      <c r="F38" s="5" t="n">
        <v>9</v>
      </c>
      <c r="G38" s="5" t="n">
        <v>10</v>
      </c>
      <c r="H38" s="5" t="n">
        <v>8</v>
      </c>
      <c r="I38" s="5" t="n"/>
      <c r="J38" s="6">
        <f>COUNT(E38:I38)</f>
        <v/>
      </c>
      <c r="K38" s="7">
        <f>SUM(E38:I38)</f>
        <v/>
      </c>
      <c r="L38" s="8">
        <f>IF(J38=0,"",K38*5/J38)</f>
        <v/>
      </c>
      <c r="M38" s="8">
        <f>SUMPRODUCT($E$1:$I$1,E38:I38)</f>
        <v/>
      </c>
    </row>
    <row r="39">
      <c r="A39" s="4" t="n">
        <v>37</v>
      </c>
      <c r="B39" s="4" t="inlineStr">
        <is>
          <t>ADBE</t>
        </is>
      </c>
      <c r="C39" s="4" t="inlineStr">
        <is>
          <t>Adobe Inc.</t>
        </is>
      </c>
      <c r="D39" s="4" t="inlineStr">
        <is>
          <t>US</t>
        </is>
      </c>
      <c r="E39" s="5" t="n">
        <v>6</v>
      </c>
      <c r="F39" s="5" t="n">
        <v>10</v>
      </c>
      <c r="G39" s="5" t="n">
        <v>10</v>
      </c>
      <c r="H39" s="5" t="n">
        <v>3</v>
      </c>
      <c r="I39" s="5" t="n"/>
      <c r="J39" s="6">
        <f>COUNT(E39:I39)</f>
        <v/>
      </c>
      <c r="K39" s="7">
        <f>SUM(E39:I39)</f>
        <v/>
      </c>
      <c r="L39" s="8">
        <f>IF(J39=0,"",K39*5/J39)</f>
        <v/>
      </c>
      <c r="M39" s="8">
        <f>SUMPRODUCT($E$1:$I$1,E39:I39)</f>
        <v/>
      </c>
    </row>
    <row r="40">
      <c r="A40" s="4" t="n">
        <v>38</v>
      </c>
      <c r="B40" s="4" t="inlineStr">
        <is>
          <t>GOOGL</t>
        </is>
      </c>
      <c r="C40" s="4" t="inlineStr">
        <is>
          <t>Alphabet Inc. (Class A)</t>
        </is>
      </c>
      <c r="D40" s="4" t="inlineStr">
        <is>
          <t>US</t>
        </is>
      </c>
      <c r="E40" s="5" t="n">
        <v>4</v>
      </c>
      <c r="F40" s="5" t="n">
        <v>8</v>
      </c>
      <c r="G40" s="5" t="n">
        <v>9</v>
      </c>
      <c r="H40" s="5" t="n">
        <v>7</v>
      </c>
      <c r="I40" s="5" t="n"/>
      <c r="J40" s="6">
        <f>COUNT(E40:I40)</f>
        <v/>
      </c>
      <c r="K40" s="7">
        <f>SUM(E40:I40)</f>
        <v/>
      </c>
      <c r="L40" s="8">
        <f>IF(J40=0,"",K40*5/J40)</f>
        <v/>
      </c>
      <c r="M40" s="8">
        <f>SUMPRODUCT($E$1:$I$1,E40:I40)</f>
        <v/>
      </c>
    </row>
    <row r="41">
      <c r="A41" s="4" t="n">
        <v>39</v>
      </c>
      <c r="B41" s="4" t="inlineStr">
        <is>
          <t>DHI</t>
        </is>
      </c>
      <c r="C41" s="4" t="inlineStr">
        <is>
          <t>D. R. Horton</t>
        </is>
      </c>
      <c r="D41" s="4" t="inlineStr">
        <is>
          <t>US</t>
        </is>
      </c>
      <c r="E41" s="5" t="n">
        <v>8</v>
      </c>
      <c r="F41" s="5" t="n">
        <v>10</v>
      </c>
      <c r="G41" s="5" t="n">
        <v>5</v>
      </c>
      <c r="H41" s="5" t="n">
        <v>5</v>
      </c>
      <c r="I41" s="5" t="n"/>
      <c r="J41" s="6">
        <f>COUNT(E41:I41)</f>
        <v/>
      </c>
      <c r="K41" s="7">
        <f>SUM(E41:I41)</f>
        <v/>
      </c>
      <c r="L41" s="8">
        <f>IF(J41=0,"",K41*5/J41)</f>
        <v/>
      </c>
      <c r="M41" s="8">
        <f>SUMPRODUCT($E$1:$I$1,E41:I41)</f>
        <v/>
      </c>
    </row>
    <row r="42">
      <c r="A42" s="4" t="n">
        <v>40</v>
      </c>
      <c r="B42" s="4" t="inlineStr">
        <is>
          <t>CME</t>
        </is>
      </c>
      <c r="C42" s="4" t="inlineStr">
        <is>
          <t>CME Group</t>
        </is>
      </c>
      <c r="D42" s="4" t="inlineStr">
        <is>
          <t>US</t>
        </is>
      </c>
      <c r="E42" s="5" t="n">
        <v>7</v>
      </c>
      <c r="F42" s="5" t="n">
        <v>7</v>
      </c>
      <c r="G42" s="5" t="n">
        <v>6</v>
      </c>
      <c r="H42" s="5" t="n">
        <v>8</v>
      </c>
      <c r="I42" s="5" t="n"/>
      <c r="J42" s="6">
        <f>COUNT(E42:I42)</f>
        <v/>
      </c>
      <c r="K42" s="7">
        <f>SUM(E42:I42)</f>
        <v/>
      </c>
      <c r="L42" s="8">
        <f>IF(J42=0,"",K42*5/J42)</f>
        <v/>
      </c>
      <c r="M42" s="8">
        <f>SUMPRODUCT($E$1:$I$1,E42:I42)</f>
        <v/>
      </c>
    </row>
    <row r="43">
      <c r="A43" s="4" t="n">
        <v>41</v>
      </c>
      <c r="B43" s="4" t="inlineStr">
        <is>
          <t>JNJ</t>
        </is>
      </c>
      <c r="C43" s="4" t="inlineStr">
        <is>
          <t>Johnson &amp; Johnson</t>
        </is>
      </c>
      <c r="D43" s="4" t="inlineStr">
        <is>
          <t>US</t>
        </is>
      </c>
      <c r="E43" s="5" t="n">
        <v>3</v>
      </c>
      <c r="F43" s="5" t="n">
        <v>7</v>
      </c>
      <c r="G43" s="5" t="n">
        <v>8</v>
      </c>
      <c r="H43" s="5" t="n">
        <v>10</v>
      </c>
      <c r="I43" s="5" t="n"/>
      <c r="J43" s="6">
        <f>COUNT(E43:I43)</f>
        <v/>
      </c>
      <c r="K43" s="7">
        <f>SUM(E43:I43)</f>
        <v/>
      </c>
      <c r="L43" s="8">
        <f>IF(J43=0,"",K43*5/J43)</f>
        <v/>
      </c>
      <c r="M43" s="8">
        <f>SUMPRODUCT($E$1:$I$1,E43:I43)</f>
        <v/>
      </c>
    </row>
    <row r="44">
      <c r="A44" s="4" t="n">
        <v>42</v>
      </c>
      <c r="B44" s="4" t="inlineStr">
        <is>
          <t>UPS</t>
        </is>
      </c>
      <c r="C44" s="4" t="inlineStr">
        <is>
          <t>United Parcel Service</t>
        </is>
      </c>
      <c r="D44" s="4" t="inlineStr">
        <is>
          <t>US</t>
        </is>
      </c>
      <c r="E44" s="5" t="n">
        <v>6</v>
      </c>
      <c r="F44" s="5" t="n">
        <v>6</v>
      </c>
      <c r="G44" s="5" t="n">
        <v>8</v>
      </c>
      <c r="H44" s="5" t="n">
        <v>8</v>
      </c>
      <c r="I44" s="5" t="n"/>
      <c r="J44" s="6">
        <f>COUNT(E44:I44)</f>
        <v/>
      </c>
      <c r="K44" s="7">
        <f>SUM(E44:I44)</f>
        <v/>
      </c>
      <c r="L44" s="8">
        <f>IF(J44=0,"",K44*5/J44)</f>
        <v/>
      </c>
      <c r="M44" s="8">
        <f>SUMPRODUCT($E$1:$I$1,E44:I44)</f>
        <v/>
      </c>
    </row>
    <row r="45">
      <c r="A45" s="4" t="n">
        <v>43</v>
      </c>
      <c r="B45" s="4" t="inlineStr">
        <is>
          <t>FDX</t>
        </is>
      </c>
      <c r="C45" s="4" t="inlineStr">
        <is>
          <t>FedEx</t>
        </is>
      </c>
      <c r="D45" s="4" t="inlineStr">
        <is>
          <t>US</t>
        </is>
      </c>
      <c r="E45" s="5" t="n">
        <v>7</v>
      </c>
      <c r="F45" s="5" t="n">
        <v>9</v>
      </c>
      <c r="G45" s="5" t="n">
        <v>5</v>
      </c>
      <c r="H45" s="5" t="n">
        <v>7</v>
      </c>
      <c r="I45" s="5" t="n"/>
      <c r="J45" s="6">
        <f>COUNT(E45:I45)</f>
        <v/>
      </c>
      <c r="K45" s="7">
        <f>SUM(E45:I45)</f>
        <v/>
      </c>
      <c r="L45" s="8">
        <f>IF(J45=0,"",K45*5/J45)</f>
        <v/>
      </c>
      <c r="M45" s="8">
        <f>SUMPRODUCT($E$1:$I$1,E45:I45)</f>
        <v/>
      </c>
    </row>
    <row r="46">
      <c r="A46" s="4" t="n">
        <v>44</v>
      </c>
      <c r="B46" s="4" t="inlineStr">
        <is>
          <t>GOOG</t>
        </is>
      </c>
      <c r="C46" s="4" t="inlineStr">
        <is>
          <t>Alphabet Inc. (Class C)</t>
        </is>
      </c>
      <c r="D46" s="4" t="inlineStr">
        <is>
          <t>US</t>
        </is>
      </c>
      <c r="E46" s="5" t="n">
        <v>4</v>
      </c>
      <c r="F46" s="5" t="n">
        <v>8</v>
      </c>
      <c r="G46" s="5" t="n">
        <v>9</v>
      </c>
      <c r="H46" s="5" t="n">
        <v>7</v>
      </c>
      <c r="I46" s="5" t="n"/>
      <c r="J46" s="6">
        <f>COUNT(E46:I46)</f>
        <v/>
      </c>
      <c r="K46" s="7">
        <f>SUM(E46:I46)</f>
        <v/>
      </c>
      <c r="L46" s="8">
        <f>IF(J46=0,"",K46*5/J46)</f>
        <v/>
      </c>
      <c r="M46" s="8">
        <f>SUMPRODUCT($E$1:$I$1,E46:I46)</f>
        <v/>
      </c>
    </row>
    <row r="47">
      <c r="A47" s="4" t="n">
        <v>45</v>
      </c>
      <c r="B47" s="4" t="inlineStr">
        <is>
          <t>WM</t>
        </is>
      </c>
      <c r="C47" s="4" t="inlineStr">
        <is>
          <t>Waste Management</t>
        </is>
      </c>
      <c r="D47" s="4" t="inlineStr">
        <is>
          <t>US</t>
        </is>
      </c>
      <c r="E47" s="5" t="n">
        <v>3</v>
      </c>
      <c r="F47" s="5" t="n">
        <v>7</v>
      </c>
      <c r="G47" s="5" t="n">
        <v>8</v>
      </c>
      <c r="H47" s="5" t="n">
        <v>10</v>
      </c>
      <c r="I47" s="5" t="n"/>
      <c r="J47" s="6">
        <f>COUNT(E47:I47)</f>
        <v/>
      </c>
      <c r="K47" s="7">
        <f>SUM(E47:I47)</f>
        <v/>
      </c>
      <c r="L47" s="8">
        <f>IF(J47=0,"",K47*5/J47)</f>
        <v/>
      </c>
      <c r="M47" s="8">
        <f>SUMPRODUCT($E$1:$I$1,E47:I47)</f>
        <v/>
      </c>
    </row>
    <row r="48">
      <c r="A48" s="4" t="n">
        <v>46</v>
      </c>
      <c r="B48" s="4" t="inlineStr">
        <is>
          <t>APH</t>
        </is>
      </c>
      <c r="C48" s="4" t="inlineStr">
        <is>
          <t>Amphenol</t>
        </is>
      </c>
      <c r="D48" s="4" t="inlineStr">
        <is>
          <t>US</t>
        </is>
      </c>
      <c r="E48" s="5" t="n">
        <v>2</v>
      </c>
      <c r="F48" s="5" t="n">
        <v>8</v>
      </c>
      <c r="G48" s="5" t="n">
        <v>8</v>
      </c>
      <c r="H48" s="5" t="n">
        <v>10</v>
      </c>
      <c r="I48" s="5" t="n"/>
      <c r="J48" s="6">
        <f>COUNT(E48:I48)</f>
        <v/>
      </c>
      <c r="K48" s="7">
        <f>SUM(E48:I48)</f>
        <v/>
      </c>
      <c r="L48" s="8">
        <f>IF(J48=0,"",K48*5/J48)</f>
        <v/>
      </c>
      <c r="M48" s="8">
        <f>SUMPRODUCT($E$1:$I$1,E48:I48)</f>
        <v/>
      </c>
    </row>
    <row r="49">
      <c r="A49" s="4" t="n">
        <v>47</v>
      </c>
      <c r="B49" s="4" t="inlineStr">
        <is>
          <t>MHK</t>
        </is>
      </c>
      <c r="C49" s="4" t="inlineStr">
        <is>
          <t>Mohawk Industries</t>
        </is>
      </c>
      <c r="D49" s="4" t="inlineStr">
        <is>
          <t>US</t>
        </is>
      </c>
      <c r="E49" s="5" t="n">
        <v>9</v>
      </c>
      <c r="F49" s="5" t="n">
        <v>8</v>
      </c>
      <c r="G49" s="5" t="n">
        <v>2</v>
      </c>
      <c r="H49" s="5" t="n">
        <v>9</v>
      </c>
      <c r="I49" s="5" t="n"/>
      <c r="J49" s="6">
        <f>COUNT(E49:I49)</f>
        <v/>
      </c>
      <c r="K49" s="7">
        <f>SUM(E49:I49)</f>
        <v/>
      </c>
      <c r="L49" s="8">
        <f>IF(J49=0,"",K49*5/J49)</f>
        <v/>
      </c>
      <c r="M49" s="8">
        <f>SUMPRODUCT($E$1:$I$1,E49:I49)</f>
        <v/>
      </c>
    </row>
    <row r="50">
      <c r="A50" s="4" t="n">
        <v>48</v>
      </c>
      <c r="B50" s="4" t="inlineStr">
        <is>
          <t>LKQ</t>
        </is>
      </c>
      <c r="C50" s="4" t="inlineStr">
        <is>
          <t>LKQ Corporation</t>
        </is>
      </c>
      <c r="D50" s="4" t="inlineStr">
        <is>
          <t>US</t>
        </is>
      </c>
      <c r="E50" s="5" t="n">
        <v>10</v>
      </c>
      <c r="F50" s="5" t="n">
        <v>8</v>
      </c>
      <c r="G50" s="5" t="n">
        <v>3</v>
      </c>
      <c r="H50" s="5" t="n">
        <v>7</v>
      </c>
      <c r="I50" s="5" t="n"/>
      <c r="J50" s="6">
        <f>COUNT(E50:I50)</f>
        <v/>
      </c>
      <c r="K50" s="7">
        <f>SUM(E50:I50)</f>
        <v/>
      </c>
      <c r="L50" s="8">
        <f>IF(J50=0,"",K50*5/J50)</f>
        <v/>
      </c>
      <c r="M50" s="8">
        <f>SUMPRODUCT($E$1:$I$1,E50:I50)</f>
        <v/>
      </c>
    </row>
    <row r="51">
      <c r="A51" s="4" t="n">
        <v>49</v>
      </c>
      <c r="B51" s="4" t="inlineStr">
        <is>
          <t>PSX</t>
        </is>
      </c>
      <c r="C51" s="4" t="inlineStr">
        <is>
          <t>Phillips 66</t>
        </is>
      </c>
      <c r="D51" s="4" t="inlineStr">
        <is>
          <t>US</t>
        </is>
      </c>
      <c r="E51" s="5" t="n">
        <v>8</v>
      </c>
      <c r="F51" s="5" t="n">
        <v>7</v>
      </c>
      <c r="G51" s="5" t="n">
        <v>5</v>
      </c>
      <c r="H51" s="5" t="n">
        <v>8</v>
      </c>
      <c r="I51" s="5" t="n"/>
      <c r="J51" s="6">
        <f>COUNT(E51:I51)</f>
        <v/>
      </c>
      <c r="K51" s="7">
        <f>SUM(E51:I51)</f>
        <v/>
      </c>
      <c r="L51" s="8">
        <f>IF(J51=0,"",K51*5/J51)</f>
        <v/>
      </c>
      <c r="M51" s="8">
        <f>SUMPRODUCT($E$1:$I$1,E51:I51)</f>
        <v/>
      </c>
    </row>
    <row r="52">
      <c r="A52" s="4" t="n">
        <v>50</v>
      </c>
      <c r="B52" s="4" t="inlineStr">
        <is>
          <t>ROP</t>
        </is>
      </c>
      <c r="C52" s="4" t="inlineStr">
        <is>
          <t>Roper Technologies</t>
        </is>
      </c>
      <c r="D52" s="4" t="inlineStr">
        <is>
          <t>US</t>
        </is>
      </c>
      <c r="E52" s="5" t="n">
        <v>7</v>
      </c>
      <c r="F52" s="5" t="n">
        <v>9</v>
      </c>
      <c r="G52" s="5" t="n">
        <v>3</v>
      </c>
      <c r="H52" s="5" t="n">
        <v>9</v>
      </c>
      <c r="I52" s="5" t="n"/>
      <c r="J52" s="6">
        <f>COUNT(E52:I52)</f>
        <v/>
      </c>
      <c r="K52" s="7">
        <f>SUM(E52:I52)</f>
        <v/>
      </c>
      <c r="L52" s="8">
        <f>IF(J52=0,"",K52*5/J52)</f>
        <v/>
      </c>
      <c r="M52" s="8">
        <f>SUMPRODUCT($E$1:$I$1,E52:I52)</f>
        <v/>
      </c>
    </row>
    <row r="53">
      <c r="A53" s="4" t="n">
        <v>51</v>
      </c>
      <c r="B53" s="4" t="inlineStr">
        <is>
          <t>CCL</t>
        </is>
      </c>
      <c r="C53" s="4" t="inlineStr">
        <is>
          <t>Carnival</t>
        </is>
      </c>
      <c r="D53" s="4" t="inlineStr">
        <is>
          <t>US</t>
        </is>
      </c>
      <c r="E53" s="5" t="n">
        <v>8</v>
      </c>
      <c r="F53" s="5" t="n">
        <v>5</v>
      </c>
      <c r="G53" s="5" t="n">
        <v>8</v>
      </c>
      <c r="H53" s="5" t="n">
        <v>7</v>
      </c>
      <c r="I53" s="5" t="n"/>
      <c r="J53" s="6">
        <f>COUNT(E53:I53)</f>
        <v/>
      </c>
      <c r="K53" s="7">
        <f>SUM(E53:I53)</f>
        <v/>
      </c>
      <c r="L53" s="8">
        <f>IF(J53=0,"",K53*5/J53)</f>
        <v/>
      </c>
      <c r="M53" s="8">
        <f>SUMPRODUCT($E$1:$I$1,E53:I53)</f>
        <v/>
      </c>
    </row>
    <row r="54">
      <c r="A54" s="4" t="n">
        <v>52</v>
      </c>
      <c r="B54" s="4" t="inlineStr">
        <is>
          <t>PAYX</t>
        </is>
      </c>
      <c r="C54" s="4" t="inlineStr">
        <is>
          <t>Paychex</t>
        </is>
      </c>
      <c r="D54" s="4" t="inlineStr">
        <is>
          <t>US</t>
        </is>
      </c>
      <c r="E54" s="5" t="n">
        <v>5</v>
      </c>
      <c r="F54" s="5" t="n">
        <v>5</v>
      </c>
      <c r="G54" s="5" t="n">
        <v>9</v>
      </c>
      <c r="H54" s="5" t="n">
        <v>8</v>
      </c>
      <c r="I54" s="5" t="n"/>
      <c r="J54" s="6">
        <f>COUNT(E54:I54)</f>
        <v/>
      </c>
      <c r="K54" s="7">
        <f>SUM(E54:I54)</f>
        <v/>
      </c>
      <c r="L54" s="8">
        <f>IF(J54=0,"",K54*5/J54)</f>
        <v/>
      </c>
      <c r="M54" s="8">
        <f>SUMPRODUCT($E$1:$I$1,E54:I54)</f>
        <v/>
      </c>
    </row>
    <row r="55">
      <c r="A55" s="4" t="n">
        <v>53</v>
      </c>
      <c r="B55" s="4" t="inlineStr">
        <is>
          <t>A</t>
        </is>
      </c>
      <c r="C55" s="4" t="inlineStr">
        <is>
          <t>Agilent Technologies</t>
        </is>
      </c>
      <c r="D55" s="4" t="inlineStr">
        <is>
          <t>US</t>
        </is>
      </c>
      <c r="E55" s="5" t="n">
        <v>4</v>
      </c>
      <c r="F55" s="5" t="n">
        <v>9</v>
      </c>
      <c r="G55" s="5" t="n">
        <v>7</v>
      </c>
      <c r="H55" s="5" t="n">
        <v>7</v>
      </c>
      <c r="I55" s="5" t="n"/>
      <c r="J55" s="6">
        <f>COUNT(E55:I55)</f>
        <v/>
      </c>
      <c r="K55" s="7">
        <f>SUM(E55:I55)</f>
        <v/>
      </c>
      <c r="L55" s="8">
        <f>IF(J55=0,"",K55*5/J55)</f>
        <v/>
      </c>
      <c r="M55" s="8">
        <f>SUMPRODUCT($E$1:$I$1,E55:I55)</f>
        <v/>
      </c>
    </row>
    <row r="56">
      <c r="A56" s="4" t="n">
        <v>54</v>
      </c>
      <c r="B56" s="4" t="inlineStr">
        <is>
          <t>VLO</t>
        </is>
      </c>
      <c r="C56" s="4" t="inlineStr">
        <is>
          <t>Valero Energy</t>
        </is>
      </c>
      <c r="D56" s="4" t="inlineStr">
        <is>
          <t>US</t>
        </is>
      </c>
      <c r="E56" s="5" t="n">
        <v>6</v>
      </c>
      <c r="F56" s="5" t="n">
        <v>9</v>
      </c>
      <c r="G56" s="5" t="n">
        <v>6</v>
      </c>
      <c r="H56" s="5" t="n">
        <v>6</v>
      </c>
      <c r="I56" s="5" t="n"/>
      <c r="J56" s="6">
        <f>COUNT(E56:I56)</f>
        <v/>
      </c>
      <c r="K56" s="7">
        <f>SUM(E56:I56)</f>
        <v/>
      </c>
      <c r="L56" s="8">
        <f>IF(J56=0,"",K56*5/J56)</f>
        <v/>
      </c>
      <c r="M56" s="8">
        <f>SUMPRODUCT($E$1:$I$1,E56:I56)</f>
        <v/>
      </c>
    </row>
    <row r="57">
      <c r="A57" s="4" t="n">
        <v>55</v>
      </c>
      <c r="B57" s="4" t="inlineStr">
        <is>
          <t>PEG</t>
        </is>
      </c>
      <c r="C57" s="4" t="inlineStr">
        <is>
          <t>Public Service Enterprise Group</t>
        </is>
      </c>
      <c r="D57" s="4" t="inlineStr">
        <is>
          <t>US</t>
        </is>
      </c>
      <c r="E57" s="5" t="n">
        <v>7</v>
      </c>
      <c r="F57" s="5" t="n">
        <v>5</v>
      </c>
      <c r="G57" s="5" t="n">
        <v>5</v>
      </c>
      <c r="H57" s="5" t="n">
        <v>10</v>
      </c>
      <c r="I57" s="5" t="n"/>
      <c r="J57" s="6">
        <f>COUNT(E57:I57)</f>
        <v/>
      </c>
      <c r="K57" s="7">
        <f>SUM(E57:I57)</f>
        <v/>
      </c>
      <c r="L57" s="8">
        <f>IF(J57=0,"",K57*5/J57)</f>
        <v/>
      </c>
      <c r="M57" s="8">
        <f>SUMPRODUCT($E$1:$I$1,E57:I57)</f>
        <v/>
      </c>
    </row>
    <row r="58">
      <c r="A58" s="4" t="n">
        <v>56</v>
      </c>
      <c r="B58" s="4" t="inlineStr">
        <is>
          <t>PEP</t>
        </is>
      </c>
      <c r="C58" s="4" t="inlineStr">
        <is>
          <t>PepsiCo</t>
        </is>
      </c>
      <c r="D58" s="4" t="inlineStr">
        <is>
          <t>US</t>
        </is>
      </c>
      <c r="E58" s="5" t="n">
        <v>4</v>
      </c>
      <c r="F58" s="5" t="n">
        <v>4</v>
      </c>
      <c r="G58" s="5" t="n">
        <v>9</v>
      </c>
      <c r="H58" s="5" t="n">
        <v>10</v>
      </c>
      <c r="I58" s="5" t="n"/>
      <c r="J58" s="6">
        <f>COUNT(E58:I58)</f>
        <v/>
      </c>
      <c r="K58" s="7">
        <f>SUM(E58:I58)</f>
        <v/>
      </c>
      <c r="L58" s="8">
        <f>IF(J58=0,"",K58*5/J58)</f>
        <v/>
      </c>
      <c r="M58" s="8">
        <f>SUMPRODUCT($E$1:$I$1,E58:I58)</f>
        <v/>
      </c>
    </row>
    <row r="59">
      <c r="A59" s="4" t="n">
        <v>57</v>
      </c>
      <c r="B59" s="4" t="inlineStr">
        <is>
          <t>BK</t>
        </is>
      </c>
      <c r="C59" s="4" t="inlineStr">
        <is>
          <t>BNY Mellon</t>
        </is>
      </c>
      <c r="D59" s="4" t="inlineStr">
        <is>
          <t>US</t>
        </is>
      </c>
      <c r="E59" s="5" t="n">
        <v>8</v>
      </c>
      <c r="F59" s="5" t="n">
        <v>6</v>
      </c>
      <c r="G59" s="5" t="n">
        <v>5</v>
      </c>
      <c r="H59" s="5" t="n">
        <v>8</v>
      </c>
      <c r="I59" s="5" t="n"/>
      <c r="J59" s="6">
        <f>COUNT(E59:I59)</f>
        <v/>
      </c>
      <c r="K59" s="7">
        <f>SUM(E59:I59)</f>
        <v/>
      </c>
      <c r="L59" s="8">
        <f>IF(J59=0,"",K59*5/J59)</f>
        <v/>
      </c>
      <c r="M59" s="8">
        <f>SUMPRODUCT($E$1:$I$1,E59:I59)</f>
        <v/>
      </c>
    </row>
    <row r="60">
      <c r="A60" s="4" t="n">
        <v>58</v>
      </c>
      <c r="B60" s="4" t="inlineStr">
        <is>
          <t>KO</t>
        </is>
      </c>
      <c r="C60" s="4" t="inlineStr">
        <is>
          <t>Coca-Cola Company (The)</t>
        </is>
      </c>
      <c r="D60" s="4" t="inlineStr">
        <is>
          <t>US</t>
        </is>
      </c>
      <c r="E60" s="5" t="n">
        <v>4</v>
      </c>
      <c r="F60" s="5" t="n">
        <v>4</v>
      </c>
      <c r="G60" s="5" t="n">
        <v>9</v>
      </c>
      <c r="H60" s="5" t="n">
        <v>10</v>
      </c>
      <c r="I60" s="5" t="n"/>
      <c r="J60" s="6">
        <f>COUNT(E60:I60)</f>
        <v/>
      </c>
      <c r="K60" s="7">
        <f>SUM(E60:I60)</f>
        <v/>
      </c>
      <c r="L60" s="8">
        <f>IF(J60=0,"",K60*5/J60)</f>
        <v/>
      </c>
      <c r="M60" s="8">
        <f>SUMPRODUCT($E$1:$I$1,E60:I60)</f>
        <v/>
      </c>
    </row>
    <row r="61">
      <c r="A61" s="4" t="n">
        <v>59</v>
      </c>
      <c r="B61" s="4" t="inlineStr">
        <is>
          <t>CB</t>
        </is>
      </c>
      <c r="C61" s="4" t="inlineStr">
        <is>
          <t>Chubb Limited</t>
        </is>
      </c>
      <c r="D61" s="4" t="inlineStr">
        <is>
          <t>US</t>
        </is>
      </c>
      <c r="E61" s="5" t="n">
        <v>9</v>
      </c>
      <c r="F61" s="5" t="n">
        <v>4</v>
      </c>
      <c r="G61" s="5" t="n">
        <v>5</v>
      </c>
      <c r="H61" s="5" t="n">
        <v>9</v>
      </c>
      <c r="I61" s="5" t="n"/>
      <c r="J61" s="6">
        <f>COUNT(E61:I61)</f>
        <v/>
      </c>
      <c r="K61" s="7">
        <f>SUM(E61:I61)</f>
        <v/>
      </c>
      <c r="L61" s="8">
        <f>IF(J61=0,"",K61*5/J61)</f>
        <v/>
      </c>
      <c r="M61" s="8">
        <f>SUMPRODUCT($E$1:$I$1,E61:I61)</f>
        <v/>
      </c>
    </row>
    <row r="62">
      <c r="A62" s="4" t="n">
        <v>60</v>
      </c>
      <c r="B62" s="4" t="inlineStr">
        <is>
          <t>BAX</t>
        </is>
      </c>
      <c r="C62" s="4" t="inlineStr">
        <is>
          <t>Baxter International</t>
        </is>
      </c>
      <c r="D62" s="4" t="inlineStr">
        <is>
          <t>US</t>
        </is>
      </c>
      <c r="E62" s="5" t="n">
        <v>8</v>
      </c>
      <c r="F62" s="5" t="n">
        <v>9</v>
      </c>
      <c r="G62" s="5" t="n">
        <v>1</v>
      </c>
      <c r="H62" s="5" t="n">
        <v>9</v>
      </c>
      <c r="I62" s="5" t="n"/>
      <c r="J62" s="6">
        <f>COUNT(E62:I62)</f>
        <v/>
      </c>
      <c r="K62" s="7">
        <f>SUM(E62:I62)</f>
        <v/>
      </c>
      <c r="L62" s="8">
        <f>IF(J62=0,"",K62*5/J62)</f>
        <v/>
      </c>
      <c r="M62" s="8">
        <f>SUMPRODUCT($E$1:$I$1,E62:I62)</f>
        <v/>
      </c>
    </row>
    <row r="63">
      <c r="A63" s="4" t="n">
        <v>61</v>
      </c>
      <c r="B63" s="4" t="inlineStr">
        <is>
          <t>SPGI</t>
        </is>
      </c>
      <c r="C63" s="4" t="inlineStr">
        <is>
          <t>S&amp;P Global</t>
        </is>
      </c>
      <c r="D63" s="4" t="inlineStr">
        <is>
          <t>US</t>
        </is>
      </c>
      <c r="E63" s="5" t="n">
        <v>5</v>
      </c>
      <c r="F63" s="5" t="n">
        <v>9</v>
      </c>
      <c r="G63" s="5" t="n">
        <v>6</v>
      </c>
      <c r="H63" s="5" t="n">
        <v>7</v>
      </c>
      <c r="I63" s="5" t="n"/>
      <c r="J63" s="6">
        <f>COUNT(E63:I63)</f>
        <v/>
      </c>
      <c r="K63" s="7">
        <f>SUM(E63:I63)</f>
        <v/>
      </c>
      <c r="L63" s="8">
        <f>IF(J63=0,"",K63*5/J63)</f>
        <v/>
      </c>
      <c r="M63" s="8">
        <f>SUMPRODUCT($E$1:$I$1,E63:I63)</f>
        <v/>
      </c>
    </row>
    <row r="64">
      <c r="A64" s="4" t="n">
        <v>62</v>
      </c>
      <c r="B64" s="4" t="inlineStr">
        <is>
          <t>BLK</t>
        </is>
      </c>
      <c r="C64" s="4" t="inlineStr">
        <is>
          <t>BlackRock</t>
        </is>
      </c>
      <c r="D64" s="4" t="inlineStr">
        <is>
          <t>US</t>
        </is>
      </c>
      <c r="E64" s="5" t="n">
        <v>6</v>
      </c>
      <c r="F64" s="5" t="n">
        <v>9</v>
      </c>
      <c r="G64" s="5" t="n">
        <v>4</v>
      </c>
      <c r="H64" s="5" t="n">
        <v>8</v>
      </c>
      <c r="I64" s="5" t="n"/>
      <c r="J64" s="6">
        <f>COUNT(E64:I64)</f>
        <v/>
      </c>
      <c r="K64" s="7">
        <f>SUM(E64:I64)</f>
        <v/>
      </c>
      <c r="L64" s="8">
        <f>IF(J64=0,"",K64*5/J64)</f>
        <v/>
      </c>
      <c r="M64" s="8">
        <f>SUMPRODUCT($E$1:$I$1,E64:I64)</f>
        <v/>
      </c>
    </row>
    <row r="65">
      <c r="A65" s="4" t="n">
        <v>63</v>
      </c>
      <c r="B65" s="4" t="inlineStr">
        <is>
          <t>JPM</t>
        </is>
      </c>
      <c r="C65" s="4" t="inlineStr">
        <is>
          <t>JPMorgan Chase</t>
        </is>
      </c>
      <c r="D65" s="4" t="inlineStr">
        <is>
          <t>US</t>
        </is>
      </c>
      <c r="E65" s="5" t="n">
        <v>7</v>
      </c>
      <c r="F65" s="5" t="n">
        <v>7</v>
      </c>
      <c r="G65" s="5" t="n">
        <v>6</v>
      </c>
      <c r="H65" s="5" t="n">
        <v>7</v>
      </c>
      <c r="I65" s="5" t="n"/>
      <c r="J65" s="6">
        <f>COUNT(E65:I65)</f>
        <v/>
      </c>
      <c r="K65" s="7">
        <f>SUM(E65:I65)</f>
        <v/>
      </c>
      <c r="L65" s="8">
        <f>IF(J65=0,"",K65*5/J65)</f>
        <v/>
      </c>
      <c r="M65" s="8">
        <f>SUMPRODUCT($E$1:$I$1,E65:I65)</f>
        <v/>
      </c>
    </row>
    <row r="66">
      <c r="A66" s="4" t="n">
        <v>64</v>
      </c>
      <c r="B66" s="4" t="inlineStr">
        <is>
          <t>NEE</t>
        </is>
      </c>
      <c r="C66" s="4" t="inlineStr">
        <is>
          <t>NextEra Energy</t>
        </is>
      </c>
      <c r="D66" s="4" t="inlineStr">
        <is>
          <t>US</t>
        </is>
      </c>
      <c r="E66" s="5" t="n">
        <v>6</v>
      </c>
      <c r="F66" s="5" t="n">
        <v>6</v>
      </c>
      <c r="G66" s="5" t="n">
        <v>5</v>
      </c>
      <c r="H66" s="5" t="n">
        <v>10</v>
      </c>
      <c r="I66" s="5" t="n"/>
      <c r="J66" s="6">
        <f>COUNT(E66:I66)</f>
        <v/>
      </c>
      <c r="K66" s="7">
        <f>SUM(E66:I66)</f>
        <v/>
      </c>
      <c r="L66" s="8">
        <f>IF(J66=0,"",K66*5/J66)</f>
        <v/>
      </c>
      <c r="M66" s="8">
        <f>SUMPRODUCT($E$1:$I$1,E66:I66)</f>
        <v/>
      </c>
    </row>
    <row r="67">
      <c r="A67" s="4" t="n">
        <v>65</v>
      </c>
      <c r="B67" s="4" t="inlineStr">
        <is>
          <t>USB</t>
        </is>
      </c>
      <c r="C67" s="4" t="inlineStr">
        <is>
          <t>U.S. Bancorp</t>
        </is>
      </c>
      <c r="D67" s="4" t="inlineStr">
        <is>
          <t>US</t>
        </is>
      </c>
      <c r="E67" s="5" t="n">
        <v>9</v>
      </c>
      <c r="F67" s="5" t="n">
        <v>3</v>
      </c>
      <c r="G67" s="5" t="n">
        <v>5</v>
      </c>
      <c r="H67" s="5" t="n">
        <v>9</v>
      </c>
      <c r="I67" s="5" t="n"/>
      <c r="J67" s="6">
        <f>COUNT(E67:I67)</f>
        <v/>
      </c>
      <c r="K67" s="7">
        <f>SUM(E67:I67)</f>
        <v/>
      </c>
      <c r="L67" s="8">
        <f>IF(J67=0,"",K67*5/J67)</f>
        <v/>
      </c>
      <c r="M67" s="8">
        <f>SUMPRODUCT($E$1:$I$1,E67:I67)</f>
        <v/>
      </c>
    </row>
    <row r="68">
      <c r="A68" s="4" t="n">
        <v>66</v>
      </c>
      <c r="B68" s="4" t="inlineStr">
        <is>
          <t>VRSK</t>
        </is>
      </c>
      <c r="C68" s="4" t="inlineStr">
        <is>
          <t>Verisk Analytics</t>
        </is>
      </c>
      <c r="D68" s="4" t="inlineStr">
        <is>
          <t>US</t>
        </is>
      </c>
      <c r="E68" s="5" t="n">
        <v>3</v>
      </c>
      <c r="F68" s="5" t="n">
        <v>5</v>
      </c>
      <c r="G68" s="5" t="n">
        <v>10</v>
      </c>
      <c r="H68" s="5" t="n">
        <v>8</v>
      </c>
      <c r="I68" s="5" t="n"/>
      <c r="J68" s="6">
        <f>COUNT(E68:I68)</f>
        <v/>
      </c>
      <c r="K68" s="7">
        <f>SUM(E68:I68)</f>
        <v/>
      </c>
      <c r="L68" s="8">
        <f>IF(J68=0,"",K68*5/J68)</f>
        <v/>
      </c>
      <c r="M68" s="8">
        <f>SUMPRODUCT($E$1:$I$1,E68:I68)</f>
        <v/>
      </c>
    </row>
    <row r="69">
      <c r="A69" s="4" t="n">
        <v>67</v>
      </c>
      <c r="B69" s="4" t="inlineStr">
        <is>
          <t>AME</t>
        </is>
      </c>
      <c r="C69" s="4" t="inlineStr">
        <is>
          <t>Ametek</t>
        </is>
      </c>
      <c r="D69" s="4" t="inlineStr">
        <is>
          <t>US</t>
        </is>
      </c>
      <c r="E69" s="5" t="n">
        <v>3</v>
      </c>
      <c r="F69" s="5" t="n">
        <v>9</v>
      </c>
      <c r="G69" s="5" t="n">
        <v>5</v>
      </c>
      <c r="H69" s="5" t="n">
        <v>9</v>
      </c>
      <c r="I69" s="5" t="n"/>
      <c r="J69" s="6">
        <f>COUNT(E69:I69)</f>
        <v/>
      </c>
      <c r="K69" s="7">
        <f>SUM(E69:I69)</f>
        <v/>
      </c>
      <c r="L69" s="8">
        <f>IF(J69=0,"",K69*5/J69)</f>
        <v/>
      </c>
      <c r="M69" s="8">
        <f>SUMPRODUCT($E$1:$I$1,E69:I69)</f>
        <v/>
      </c>
    </row>
    <row r="70">
      <c r="A70" s="4" t="n">
        <v>68</v>
      </c>
      <c r="B70" s="4" t="inlineStr">
        <is>
          <t>PFE</t>
        </is>
      </c>
      <c r="C70" s="4" t="inlineStr">
        <is>
          <t>Pfizer</t>
        </is>
      </c>
      <c r="D70" s="4" t="inlineStr">
        <is>
          <t>US</t>
        </is>
      </c>
      <c r="E70" s="5" t="n">
        <v>8</v>
      </c>
      <c r="F70" s="5" t="n">
        <v>5</v>
      </c>
      <c r="G70" s="5" t="n">
        <v>3</v>
      </c>
      <c r="H70" s="5" t="n">
        <v>10</v>
      </c>
      <c r="I70" s="5" t="n"/>
      <c r="J70" s="6">
        <f>COUNT(E70:I70)</f>
        <v/>
      </c>
      <c r="K70" s="7">
        <f>SUM(E70:I70)</f>
        <v/>
      </c>
      <c r="L70" s="8">
        <f>IF(J70=0,"",K70*5/J70)</f>
        <v/>
      </c>
      <c r="M70" s="8">
        <f>SUMPRODUCT($E$1:$I$1,E70:I70)</f>
        <v/>
      </c>
    </row>
    <row r="71">
      <c r="A71" s="4" t="n">
        <v>69</v>
      </c>
      <c r="B71" s="4" t="inlineStr">
        <is>
          <t>CTAS</t>
        </is>
      </c>
      <c r="C71" s="4" t="inlineStr">
        <is>
          <t>Cintas</t>
        </is>
      </c>
      <c r="D71" s="4" t="inlineStr">
        <is>
          <t>US</t>
        </is>
      </c>
      <c r="E71" s="5" t="n">
        <v>2</v>
      </c>
      <c r="F71" s="5" t="n">
        <v>9</v>
      </c>
      <c r="G71" s="5" t="n">
        <v>9</v>
      </c>
      <c r="H71" s="5" t="n">
        <v>6</v>
      </c>
      <c r="I71" s="5" t="n"/>
      <c r="J71" s="6">
        <f>COUNT(E71:I71)</f>
        <v/>
      </c>
      <c r="K71" s="7">
        <f>SUM(E71:I71)</f>
        <v/>
      </c>
      <c r="L71" s="8">
        <f>IF(J71=0,"",K71*5/J71)</f>
        <v/>
      </c>
      <c r="M71" s="8">
        <f>SUMPRODUCT($E$1:$I$1,E71:I71)</f>
        <v/>
      </c>
    </row>
    <row r="72">
      <c r="A72" s="4" t="n">
        <v>70</v>
      </c>
      <c r="B72" s="4" t="inlineStr">
        <is>
          <t>ABT</t>
        </is>
      </c>
      <c r="C72" s="4" t="inlineStr">
        <is>
          <t>Abbott Laboratories</t>
        </is>
      </c>
      <c r="D72" s="4" t="inlineStr">
        <is>
          <t>US</t>
        </is>
      </c>
      <c r="E72" s="5" t="n">
        <v>5</v>
      </c>
      <c r="F72" s="5" t="n">
        <v>8</v>
      </c>
      <c r="G72" s="5" t="n">
        <v>4</v>
      </c>
      <c r="H72" s="5" t="n">
        <v>9</v>
      </c>
      <c r="I72" s="5" t="n"/>
      <c r="J72" s="6">
        <f>COUNT(E72:I72)</f>
        <v/>
      </c>
      <c r="K72" s="7">
        <f>SUM(E72:I72)</f>
        <v/>
      </c>
      <c r="L72" s="8">
        <f>IF(J72=0,"",K72*5/J72)</f>
        <v/>
      </c>
      <c r="M72" s="8">
        <f>SUMPRODUCT($E$1:$I$1,E72:I72)</f>
        <v/>
      </c>
    </row>
    <row r="73">
      <c r="A73" s="4" t="n">
        <v>71</v>
      </c>
      <c r="B73" s="4" t="inlineStr">
        <is>
          <t>STT</t>
        </is>
      </c>
      <c r="C73" s="4" t="inlineStr">
        <is>
          <t>State Street Corporation</t>
        </is>
      </c>
      <c r="D73" s="4" t="inlineStr">
        <is>
          <t>US</t>
        </is>
      </c>
      <c r="E73" s="5" t="n">
        <v>8</v>
      </c>
      <c r="F73" s="5" t="n">
        <v>7</v>
      </c>
      <c r="G73" s="5" t="n">
        <v>4</v>
      </c>
      <c r="H73" s="5" t="n">
        <v>7</v>
      </c>
      <c r="I73" s="5" t="n"/>
      <c r="J73" s="6">
        <f>COUNT(E73:I73)</f>
        <v/>
      </c>
      <c r="K73" s="7">
        <f>SUM(E73:I73)</f>
        <v/>
      </c>
      <c r="L73" s="8">
        <f>IF(J73=0,"",K73*5/J73)</f>
        <v/>
      </c>
      <c r="M73" s="8">
        <f>SUMPRODUCT($E$1:$I$1,E73:I73)</f>
        <v/>
      </c>
    </row>
    <row r="74">
      <c r="A74" s="4" t="n">
        <v>72</v>
      </c>
      <c r="B74" s="4" t="inlineStr">
        <is>
          <t>BBY</t>
        </is>
      </c>
      <c r="C74" s="4" t="inlineStr">
        <is>
          <t>Best Buy</t>
        </is>
      </c>
      <c r="D74" s="4" t="inlineStr">
        <is>
          <t>US</t>
        </is>
      </c>
      <c r="E74" s="5" t="n">
        <v>6</v>
      </c>
      <c r="F74" s="5" t="n">
        <v>10</v>
      </c>
      <c r="G74" s="5" t="n">
        <v>9</v>
      </c>
      <c r="H74" s="5" t="n">
        <v>1</v>
      </c>
      <c r="I74" s="5" t="n"/>
      <c r="J74" s="6">
        <f>COUNT(E74:I74)</f>
        <v/>
      </c>
      <c r="K74" s="7">
        <f>SUM(E74:I74)</f>
        <v/>
      </c>
      <c r="L74" s="8">
        <f>IF(J74=0,"",K74*5/J74)</f>
        <v/>
      </c>
      <c r="M74" s="8">
        <f>SUMPRODUCT($E$1:$I$1,E74:I74)</f>
        <v/>
      </c>
    </row>
    <row r="75">
      <c r="A75" s="4" t="n">
        <v>73</v>
      </c>
      <c r="B75" s="4" t="inlineStr">
        <is>
          <t>BMY</t>
        </is>
      </c>
      <c r="C75" s="4" t="inlineStr">
        <is>
          <t>Bristol Myers Squibb</t>
        </is>
      </c>
      <c r="D75" s="4" t="inlineStr">
        <is>
          <t>US</t>
        </is>
      </c>
      <c r="E75" s="5" t="n">
        <v>6</v>
      </c>
      <c r="F75" s="5" t="n">
        <v>6</v>
      </c>
      <c r="G75" s="5" t="n">
        <v>9</v>
      </c>
      <c r="H75" s="5" t="n">
        <v>5</v>
      </c>
      <c r="I75" s="5" t="n"/>
      <c r="J75" s="6">
        <f>COUNT(E75:I75)</f>
        <v/>
      </c>
      <c r="K75" s="7">
        <f>SUM(E75:I75)</f>
        <v/>
      </c>
      <c r="L75" s="8">
        <f>IF(J75=0,"",K75*5/J75)</f>
        <v/>
      </c>
      <c r="M75" s="8">
        <f>SUMPRODUCT($E$1:$I$1,E75:I75)</f>
        <v/>
      </c>
    </row>
    <row r="76">
      <c r="A76" s="4" t="n">
        <v>74</v>
      </c>
      <c r="B76" s="4" t="inlineStr">
        <is>
          <t>DLTR</t>
        </is>
      </c>
      <c r="C76" s="4" t="inlineStr">
        <is>
          <t>Dollar Tree</t>
        </is>
      </c>
      <c r="D76" s="4" t="inlineStr">
        <is>
          <t>US</t>
        </is>
      </c>
      <c r="E76" s="5" t="n">
        <v>5</v>
      </c>
      <c r="F76" s="5" t="n">
        <v>9</v>
      </c>
      <c r="G76" s="5" t="n">
        <v>9</v>
      </c>
      <c r="H76" s="5" t="n">
        <v>3</v>
      </c>
      <c r="I76" s="5" t="n"/>
      <c r="J76" s="6">
        <f>COUNT(E76:I76)</f>
        <v/>
      </c>
      <c r="K76" s="7">
        <f>SUM(E76:I76)</f>
        <v/>
      </c>
      <c r="L76" s="8">
        <f>IF(J76=0,"",K76*5/J76)</f>
        <v/>
      </c>
      <c r="M76" s="8">
        <f>SUMPRODUCT($E$1:$I$1,E76:I76)</f>
        <v/>
      </c>
    </row>
    <row r="77">
      <c r="A77" s="4" t="n">
        <v>75</v>
      </c>
      <c r="B77" s="4" t="inlineStr">
        <is>
          <t>DRI</t>
        </is>
      </c>
      <c r="C77" s="4" t="inlineStr">
        <is>
          <t>Darden Restaurants</t>
        </is>
      </c>
      <c r="D77" s="4" t="inlineStr">
        <is>
          <t>US</t>
        </is>
      </c>
      <c r="E77" s="5" t="n">
        <v>4</v>
      </c>
      <c r="F77" s="5" t="n">
        <v>9</v>
      </c>
      <c r="G77" s="5" t="n">
        <v>9</v>
      </c>
      <c r="H77" s="5" t="n">
        <v>4</v>
      </c>
      <c r="I77" s="5" t="n"/>
      <c r="J77" s="6">
        <f>COUNT(E77:I77)</f>
        <v/>
      </c>
      <c r="K77" s="7">
        <f>SUM(E77:I77)</f>
        <v/>
      </c>
      <c r="L77" s="8">
        <f>IF(J77=0,"",K77*5/J77)</f>
        <v/>
      </c>
      <c r="M77" s="8">
        <f>SUMPRODUCT($E$1:$I$1,E77:I77)</f>
        <v/>
      </c>
    </row>
    <row r="78">
      <c r="A78" s="4" t="n">
        <v>76</v>
      </c>
      <c r="B78" s="4" t="inlineStr">
        <is>
          <t>L</t>
        </is>
      </c>
      <c r="C78" s="4" t="inlineStr">
        <is>
          <t>Loews Corporation</t>
        </is>
      </c>
      <c r="D78" s="4" t="inlineStr">
        <is>
          <t>US</t>
        </is>
      </c>
      <c r="E78" s="5" t="n">
        <v>9</v>
      </c>
      <c r="F78" s="5" t="n">
        <v>4</v>
      </c>
      <c r="G78" s="5" t="n">
        <v>3</v>
      </c>
      <c r="H78" s="5" t="n">
        <v>10</v>
      </c>
      <c r="I78" s="5" t="n"/>
      <c r="J78" s="6">
        <f>COUNT(E78:I78)</f>
        <v/>
      </c>
      <c r="K78" s="7">
        <f>SUM(E78:I78)</f>
        <v/>
      </c>
      <c r="L78" s="8">
        <f>IF(J78=0,"",K78*5/J78)</f>
        <v/>
      </c>
      <c r="M78" s="8">
        <f>SUMPRODUCT($E$1:$I$1,E78:I78)</f>
        <v/>
      </c>
    </row>
    <row r="79">
      <c r="A79" s="4" t="n">
        <v>77</v>
      </c>
      <c r="B79" s="4" t="inlineStr">
        <is>
          <t>NDAQ</t>
        </is>
      </c>
      <c r="C79" s="4" t="inlineStr">
        <is>
          <t>Nasdaq, Inc.</t>
        </is>
      </c>
      <c r="D79" s="4" t="inlineStr">
        <is>
          <t>US</t>
        </is>
      </c>
      <c r="E79" s="5" t="n">
        <v>5</v>
      </c>
      <c r="F79" s="5" t="n">
        <v>5</v>
      </c>
      <c r="G79" s="5" t="n">
        <v>6</v>
      </c>
      <c r="H79" s="5" t="n">
        <v>10</v>
      </c>
      <c r="I79" s="5" t="n"/>
      <c r="J79" s="6">
        <f>COUNT(E79:I79)</f>
        <v/>
      </c>
      <c r="K79" s="7">
        <f>SUM(E79:I79)</f>
        <v/>
      </c>
      <c r="L79" s="8">
        <f>IF(J79=0,"",K79*5/J79)</f>
        <v/>
      </c>
      <c r="M79" s="8">
        <f>SUMPRODUCT($E$1:$I$1,E79:I79)</f>
        <v/>
      </c>
    </row>
    <row r="80">
      <c r="A80" s="4" t="n">
        <v>78</v>
      </c>
      <c r="B80" s="4" t="inlineStr">
        <is>
          <t>CINF</t>
        </is>
      </c>
      <c r="C80" s="4" t="inlineStr">
        <is>
          <t>Cincinnati Financial</t>
        </is>
      </c>
      <c r="D80" s="4" t="inlineStr">
        <is>
          <t>US</t>
        </is>
      </c>
      <c r="E80" s="5" t="n">
        <v>9</v>
      </c>
      <c r="F80" s="5" t="n">
        <v>3</v>
      </c>
      <c r="G80" s="5" t="n">
        <v>6</v>
      </c>
      <c r="H80" s="5" t="n">
        <v>8</v>
      </c>
      <c r="I80" s="5" t="n"/>
      <c r="J80" s="6">
        <f>COUNT(E80:I80)</f>
        <v/>
      </c>
      <c r="K80" s="7">
        <f>SUM(E80:I80)</f>
        <v/>
      </c>
      <c r="L80" s="8">
        <f>IF(J80=0,"",K80*5/J80)</f>
        <v/>
      </c>
      <c r="M80" s="8">
        <f>SUMPRODUCT($E$1:$I$1,E80:I80)</f>
        <v/>
      </c>
    </row>
    <row r="81">
      <c r="A81" s="4" t="n">
        <v>79</v>
      </c>
      <c r="B81" s="4" t="inlineStr">
        <is>
          <t>PH</t>
        </is>
      </c>
      <c r="C81" s="4" t="inlineStr">
        <is>
          <t>Parker Hannifin</t>
        </is>
      </c>
      <c r="D81" s="4" t="inlineStr">
        <is>
          <t>US</t>
        </is>
      </c>
      <c r="E81" s="5" t="n">
        <v>3</v>
      </c>
      <c r="F81" s="5" t="n">
        <v>9</v>
      </c>
      <c r="G81" s="5" t="n">
        <v>8</v>
      </c>
      <c r="H81" s="5" t="n">
        <v>6</v>
      </c>
      <c r="I81" s="5" t="n"/>
      <c r="J81" s="6">
        <f>COUNT(E81:I81)</f>
        <v/>
      </c>
      <c r="K81" s="7">
        <f>SUM(E81:I81)</f>
        <v/>
      </c>
      <c r="L81" s="8">
        <f>IF(J81=0,"",K81*5/J81)</f>
        <v/>
      </c>
      <c r="M81" s="8">
        <f>SUMPRODUCT($E$1:$I$1,E81:I81)</f>
        <v/>
      </c>
    </row>
    <row r="82">
      <c r="A82" s="4" t="n">
        <v>80</v>
      </c>
      <c r="B82" s="4" t="inlineStr">
        <is>
          <t>EXPD</t>
        </is>
      </c>
      <c r="C82" s="4" t="inlineStr">
        <is>
          <t>Expeditors International</t>
        </is>
      </c>
      <c r="D82" s="4" t="inlineStr">
        <is>
          <t>US</t>
        </is>
      </c>
      <c r="E82" s="5" t="n">
        <v>4</v>
      </c>
      <c r="F82" s="5" t="n">
        <v>6</v>
      </c>
      <c r="G82" s="5" t="n">
        <v>9</v>
      </c>
      <c r="H82" s="5" t="n">
        <v>7</v>
      </c>
      <c r="I82" s="5" t="n"/>
      <c r="J82" s="6">
        <f>COUNT(E82:I82)</f>
        <v/>
      </c>
      <c r="K82" s="7">
        <f>SUM(E82:I82)</f>
        <v/>
      </c>
      <c r="L82" s="8">
        <f>IF(J82=0,"",K82*5/J82)</f>
        <v/>
      </c>
      <c r="M82" s="8">
        <f>SUMPRODUCT($E$1:$I$1,E82:I82)</f>
        <v/>
      </c>
    </row>
    <row r="83">
      <c r="A83" s="4" t="n">
        <v>81</v>
      </c>
      <c r="B83" s="4" t="inlineStr">
        <is>
          <t>PG</t>
        </is>
      </c>
      <c r="C83" s="4" t="inlineStr">
        <is>
          <t>Procter &amp; Gamble</t>
        </is>
      </c>
      <c r="D83" s="4" t="inlineStr">
        <is>
          <t>US</t>
        </is>
      </c>
      <c r="E83" s="5" t="n">
        <v>5</v>
      </c>
      <c r="F83" s="5" t="n">
        <v>3</v>
      </c>
      <c r="G83" s="5" t="n">
        <v>8</v>
      </c>
      <c r="H83" s="5" t="n">
        <v>10</v>
      </c>
      <c r="I83" s="5" t="n"/>
      <c r="J83" s="6">
        <f>COUNT(E83:I83)</f>
        <v/>
      </c>
      <c r="K83" s="7">
        <f>SUM(E83:I83)</f>
        <v/>
      </c>
      <c r="L83" s="8">
        <f>IF(J83=0,"",K83*5/J83)</f>
        <v/>
      </c>
      <c r="M83" s="8">
        <f>SUMPRODUCT($E$1:$I$1,E83:I83)</f>
        <v/>
      </c>
    </row>
    <row r="84">
      <c r="A84" s="4" t="n">
        <v>82</v>
      </c>
      <c r="B84" s="4" t="inlineStr">
        <is>
          <t>PPG</t>
        </is>
      </c>
      <c r="C84" s="4" t="inlineStr">
        <is>
          <t>PPG Industries</t>
        </is>
      </c>
      <c r="D84" s="4" t="inlineStr">
        <is>
          <t>US</t>
        </is>
      </c>
      <c r="E84" s="5" t="n">
        <v>7</v>
      </c>
      <c r="F84" s="5" t="n">
        <v>5</v>
      </c>
      <c r="G84" s="5" t="n">
        <v>7</v>
      </c>
      <c r="H84" s="5" t="n">
        <v>7</v>
      </c>
      <c r="I84" s="5" t="n"/>
      <c r="J84" s="6">
        <f>COUNT(E84:I84)</f>
        <v/>
      </c>
      <c r="K84" s="7">
        <f>SUM(E84:I84)</f>
        <v/>
      </c>
      <c r="L84" s="8">
        <f>IF(J84=0,"",K84*5/J84)</f>
        <v/>
      </c>
      <c r="M84" s="8">
        <f>SUMPRODUCT($E$1:$I$1,E84:I84)</f>
        <v/>
      </c>
    </row>
    <row r="85">
      <c r="A85" s="4" t="n">
        <v>83</v>
      </c>
      <c r="B85" s="4" t="inlineStr">
        <is>
          <t>PNC</t>
        </is>
      </c>
      <c r="C85" s="4" t="inlineStr">
        <is>
          <t>PNC Financial Services</t>
        </is>
      </c>
      <c r="D85" s="4" t="inlineStr">
        <is>
          <t>US</t>
        </is>
      </c>
      <c r="E85" s="5" t="n">
        <v>9</v>
      </c>
      <c r="F85" s="5" t="n">
        <v>6</v>
      </c>
      <c r="G85" s="5" t="n">
        <v>4</v>
      </c>
      <c r="H85" s="5" t="n">
        <v>7</v>
      </c>
      <c r="I85" s="5" t="n"/>
      <c r="J85" s="6">
        <f>COUNT(E85:I85)</f>
        <v/>
      </c>
      <c r="K85" s="7">
        <f>SUM(E85:I85)</f>
        <v/>
      </c>
      <c r="L85" s="8">
        <f>IF(J85=0,"",K85*5/J85)</f>
        <v/>
      </c>
      <c r="M85" s="8">
        <f>SUMPRODUCT($E$1:$I$1,E85:I85)</f>
        <v/>
      </c>
    </row>
    <row r="86">
      <c r="A86" s="4" t="n">
        <v>84</v>
      </c>
      <c r="B86" s="4" t="inlineStr">
        <is>
          <t>ES</t>
        </is>
      </c>
      <c r="C86" s="4" t="inlineStr">
        <is>
          <t>Eversource Energy</t>
        </is>
      </c>
      <c r="D86" s="4" t="inlineStr">
        <is>
          <t>US</t>
        </is>
      </c>
      <c r="E86" s="5" t="n">
        <v>9</v>
      </c>
      <c r="F86" s="5" t="n">
        <v>4</v>
      </c>
      <c r="G86" s="5" t="n">
        <v>4</v>
      </c>
      <c r="H86" s="5" t="n">
        <v>9</v>
      </c>
      <c r="I86" s="5" t="n"/>
      <c r="J86" s="6">
        <f>COUNT(E86:I86)</f>
        <v/>
      </c>
      <c r="K86" s="7">
        <f>SUM(E86:I86)</f>
        <v/>
      </c>
      <c r="L86" s="8">
        <f>IF(J86=0,"",K86*5/J86)</f>
        <v/>
      </c>
      <c r="M86" s="8">
        <f>SUMPRODUCT($E$1:$I$1,E86:I86)</f>
        <v/>
      </c>
    </row>
    <row r="87">
      <c r="A87" s="4" t="n">
        <v>85</v>
      </c>
      <c r="B87" s="4" t="inlineStr">
        <is>
          <t>CHTR</t>
        </is>
      </c>
      <c r="C87" s="4" t="inlineStr">
        <is>
          <t>Charter Communications</t>
        </is>
      </c>
      <c r="D87" s="4" t="inlineStr">
        <is>
          <t>US</t>
        </is>
      </c>
      <c r="E87" s="5" t="n">
        <v>10</v>
      </c>
      <c r="F87" s="5" t="n">
        <v>4</v>
      </c>
      <c r="G87" s="5" t="n">
        <v>8</v>
      </c>
      <c r="H87" s="5" t="n">
        <v>3</v>
      </c>
      <c r="I87" s="5" t="n"/>
      <c r="J87" s="6">
        <f>COUNT(E87:I87)</f>
        <v/>
      </c>
      <c r="K87" s="7">
        <f>SUM(E87:I87)</f>
        <v/>
      </c>
      <c r="L87" s="8">
        <f>IF(J87=0,"",K87*5/J87)</f>
        <v/>
      </c>
      <c r="M87" s="8">
        <f>SUMPRODUCT($E$1:$I$1,E87:I87)</f>
        <v/>
      </c>
    </row>
    <row r="88">
      <c r="A88" s="4" t="n">
        <v>86</v>
      </c>
      <c r="B88" s="4" t="inlineStr">
        <is>
          <t>ED</t>
        </is>
      </c>
      <c r="C88" s="4" t="inlineStr">
        <is>
          <t>Consolidated Edison</t>
        </is>
      </c>
      <c r="D88" s="4" t="inlineStr">
        <is>
          <t>US</t>
        </is>
      </c>
      <c r="E88" s="5" t="n">
        <v>8</v>
      </c>
      <c r="F88" s="5" t="n">
        <v>4</v>
      </c>
      <c r="G88" s="5" t="n">
        <v>3</v>
      </c>
      <c r="H88" s="5" t="n">
        <v>10</v>
      </c>
      <c r="I88" s="5" t="n"/>
      <c r="J88" s="6">
        <f>COUNT(E88:I88)</f>
        <v/>
      </c>
      <c r="K88" s="7">
        <f>SUM(E88:I88)</f>
        <v/>
      </c>
      <c r="L88" s="8">
        <f>IF(J88=0,"",K88*5/J88)</f>
        <v/>
      </c>
      <c r="M88" s="8">
        <f>SUMPRODUCT($E$1:$I$1,E88:I88)</f>
        <v/>
      </c>
    </row>
    <row r="89">
      <c r="A89" s="4" t="n">
        <v>87</v>
      </c>
      <c r="B89" s="4" t="inlineStr">
        <is>
          <t>CL</t>
        </is>
      </c>
      <c r="C89" s="4" t="inlineStr">
        <is>
          <t>Colgate-Palmolive</t>
        </is>
      </c>
      <c r="D89" s="4" t="inlineStr">
        <is>
          <t>US</t>
        </is>
      </c>
      <c r="E89" s="5" t="n">
        <v>2</v>
      </c>
      <c r="F89" s="5" t="n">
        <v>5</v>
      </c>
      <c r="G89" s="5" t="n">
        <v>10</v>
      </c>
      <c r="H89" s="5" t="n">
        <v>8</v>
      </c>
      <c r="I89" s="5" t="n"/>
      <c r="J89" s="6">
        <f>COUNT(E89:I89)</f>
        <v/>
      </c>
      <c r="K89" s="7">
        <f>SUM(E89:I89)</f>
        <v/>
      </c>
      <c r="L89" s="8">
        <f>IF(J89=0,"",K89*5/J89)</f>
        <v/>
      </c>
      <c r="M89" s="8">
        <f>SUMPRODUCT($E$1:$I$1,E89:I89)</f>
        <v/>
      </c>
    </row>
    <row r="90">
      <c r="A90" s="4" t="n">
        <v>88</v>
      </c>
      <c r="B90" s="4" t="inlineStr">
        <is>
          <t>BAC</t>
        </is>
      </c>
      <c r="C90" s="4" t="inlineStr">
        <is>
          <t>Bank of America</t>
        </is>
      </c>
      <c r="D90" s="4" t="inlineStr">
        <is>
          <t>US</t>
        </is>
      </c>
      <c r="E90" s="5" t="n">
        <v>9</v>
      </c>
      <c r="F90" s="5" t="n">
        <v>8</v>
      </c>
      <c r="G90" s="5" t="n">
        <v>4</v>
      </c>
      <c r="H90" s="5" t="n">
        <v>4</v>
      </c>
      <c r="I90" s="5" t="n"/>
      <c r="J90" s="6">
        <f>COUNT(E90:I90)</f>
        <v/>
      </c>
      <c r="K90" s="7">
        <f>SUM(E90:I90)</f>
        <v/>
      </c>
      <c r="L90" s="8">
        <f>IF(J90=0,"",K90*5/J90)</f>
        <v/>
      </c>
      <c r="M90" s="8">
        <f>SUMPRODUCT($E$1:$I$1,E90:I90)</f>
        <v/>
      </c>
    </row>
    <row r="91">
      <c r="A91" s="4" t="n">
        <v>89</v>
      </c>
      <c r="B91" s="4" t="inlineStr">
        <is>
          <t>C</t>
        </is>
      </c>
      <c r="C91" s="4" t="inlineStr">
        <is>
          <t>Citigroup</t>
        </is>
      </c>
      <c r="D91" s="4" t="inlineStr">
        <is>
          <t>US</t>
        </is>
      </c>
      <c r="E91" s="5" t="n">
        <v>9</v>
      </c>
      <c r="F91" s="5" t="n">
        <v>8</v>
      </c>
      <c r="G91" s="5" t="n">
        <v>2</v>
      </c>
      <c r="H91" s="5" t="n">
        <v>6</v>
      </c>
      <c r="I91" s="5" t="n"/>
      <c r="J91" s="6">
        <f>COUNT(E91:I91)</f>
        <v/>
      </c>
      <c r="K91" s="7">
        <f>SUM(E91:I91)</f>
        <v/>
      </c>
      <c r="L91" s="8">
        <f>IF(J91=0,"",K91*5/J91)</f>
        <v/>
      </c>
      <c r="M91" s="8">
        <f>SUMPRODUCT($E$1:$I$1,E91:I91)</f>
        <v/>
      </c>
    </row>
    <row r="92">
      <c r="A92" s="4" t="n">
        <v>90</v>
      </c>
      <c r="B92" s="4" t="inlineStr">
        <is>
          <t>RJF</t>
        </is>
      </c>
      <c r="C92" s="4" t="inlineStr">
        <is>
          <t>Raymond James Financial</t>
        </is>
      </c>
      <c r="D92" s="4" t="inlineStr">
        <is>
          <t>US</t>
        </is>
      </c>
      <c r="E92" s="5" t="n">
        <v>8</v>
      </c>
      <c r="F92" s="5" t="n">
        <v>6</v>
      </c>
      <c r="G92" s="5" t="n">
        <v>6</v>
      </c>
      <c r="H92" s="5" t="n">
        <v>5</v>
      </c>
      <c r="I92" s="5" t="n"/>
      <c r="J92" s="6">
        <f>COUNT(E92:I92)</f>
        <v/>
      </c>
      <c r="K92" s="7">
        <f>SUM(E92:I92)</f>
        <v/>
      </c>
      <c r="L92" s="8">
        <f>IF(J92=0,"",K92*5/J92)</f>
        <v/>
      </c>
      <c r="M92" s="8">
        <f>SUMPRODUCT($E$1:$I$1,E92:I92)</f>
        <v/>
      </c>
    </row>
    <row r="93">
      <c r="A93" s="4" t="n">
        <v>91</v>
      </c>
      <c r="B93" s="4" t="inlineStr">
        <is>
          <t>PFG</t>
        </is>
      </c>
      <c r="C93" s="4" t="inlineStr">
        <is>
          <t>Principal Financial Group</t>
        </is>
      </c>
      <c r="D93" s="4" t="inlineStr">
        <is>
          <t>US</t>
        </is>
      </c>
      <c r="E93" s="5" t="n">
        <v>8</v>
      </c>
      <c r="F93" s="5" t="n">
        <v>6</v>
      </c>
      <c r="G93" s="5" t="n">
        <v>5</v>
      </c>
      <c r="H93" s="5" t="n">
        <v>6</v>
      </c>
      <c r="I93" s="5" t="n"/>
      <c r="J93" s="6">
        <f>COUNT(E93:I93)</f>
        <v/>
      </c>
      <c r="K93" s="7">
        <f>SUM(E93:I93)</f>
        <v/>
      </c>
      <c r="L93" s="8">
        <f>IF(J93=0,"",K93*5/J93)</f>
        <v/>
      </c>
      <c r="M93" s="8">
        <f>SUMPRODUCT($E$1:$I$1,E93:I93)</f>
        <v/>
      </c>
    </row>
    <row r="94">
      <c r="A94" s="4" t="n">
        <v>92</v>
      </c>
      <c r="B94" s="4" t="inlineStr">
        <is>
          <t>ADP</t>
        </is>
      </c>
      <c r="C94" s="4" t="inlineStr">
        <is>
          <t>Automatic Data Processing</t>
        </is>
      </c>
      <c r="D94" s="4" t="inlineStr">
        <is>
          <t>US</t>
        </is>
      </c>
      <c r="E94" s="5" t="n">
        <v>4</v>
      </c>
      <c r="F94" s="5" t="n">
        <v>6</v>
      </c>
      <c r="G94" s="5" t="n">
        <v>10</v>
      </c>
      <c r="H94" s="5" t="n">
        <v>5</v>
      </c>
      <c r="I94" s="5" t="n"/>
      <c r="J94" s="6">
        <f>COUNT(E94:I94)</f>
        <v/>
      </c>
      <c r="K94" s="7">
        <f>SUM(E94:I94)</f>
        <v/>
      </c>
      <c r="L94" s="8">
        <f>IF(J94=0,"",K94*5/J94)</f>
        <v/>
      </c>
      <c r="M94" s="8">
        <f>SUMPRODUCT($E$1:$I$1,E94:I94)</f>
        <v/>
      </c>
    </row>
    <row r="95">
      <c r="A95" s="4" t="n">
        <v>93</v>
      </c>
      <c r="B95" s="4" t="inlineStr">
        <is>
          <t>TMO</t>
        </is>
      </c>
      <c r="C95" s="4" t="inlineStr">
        <is>
          <t>Thermo Fisher Scientific</t>
        </is>
      </c>
      <c r="D95" s="4" t="inlineStr">
        <is>
          <t>US</t>
        </is>
      </c>
      <c r="E95" s="5" t="n">
        <v>5</v>
      </c>
      <c r="F95" s="5" t="n">
        <v>8</v>
      </c>
      <c r="G95" s="5" t="n">
        <v>5</v>
      </c>
      <c r="H95" s="5" t="n">
        <v>7</v>
      </c>
      <c r="I95" s="5" t="n"/>
      <c r="J95" s="6">
        <f>COUNT(E95:I95)</f>
        <v/>
      </c>
      <c r="K95" s="7">
        <f>SUM(E95:I95)</f>
        <v/>
      </c>
      <c r="L95" s="8">
        <f>IF(J95=0,"",K95*5/J95)</f>
        <v/>
      </c>
      <c r="M95" s="8">
        <f>SUMPRODUCT($E$1:$I$1,E95:I95)</f>
        <v/>
      </c>
    </row>
    <row r="96">
      <c r="A96" s="4" t="n">
        <v>94</v>
      </c>
      <c r="B96" s="4" t="inlineStr">
        <is>
          <t>XYL</t>
        </is>
      </c>
      <c r="C96" s="4" t="inlineStr">
        <is>
          <t>Xylem Inc.</t>
        </is>
      </c>
      <c r="D96" s="4" t="inlineStr">
        <is>
          <t>US</t>
        </is>
      </c>
      <c r="E96" s="5" t="n">
        <v>5</v>
      </c>
      <c r="F96" s="5" t="n">
        <v>10</v>
      </c>
      <c r="G96" s="5" t="n">
        <v>3</v>
      </c>
      <c r="H96" s="5" t="n">
        <v>7</v>
      </c>
      <c r="I96" s="5" t="n"/>
      <c r="J96" s="6">
        <f>COUNT(E96:I96)</f>
        <v/>
      </c>
      <c r="K96" s="7">
        <f>SUM(E96:I96)</f>
        <v/>
      </c>
      <c r="L96" s="8">
        <f>IF(J96=0,"",K96*5/J96)</f>
        <v/>
      </c>
      <c r="M96" s="8">
        <f>SUMPRODUCT($E$1:$I$1,E96:I96)</f>
        <v/>
      </c>
    </row>
    <row r="97">
      <c r="A97" s="4" t="n">
        <v>95</v>
      </c>
      <c r="B97" s="4" t="inlineStr">
        <is>
          <t>SWK</t>
        </is>
      </c>
      <c r="C97" s="4" t="inlineStr">
        <is>
          <t>Stanley Black &amp; Decker</t>
        </is>
      </c>
      <c r="D97" s="4" t="inlineStr">
        <is>
          <t>US</t>
        </is>
      </c>
      <c r="E97" s="5" t="n">
        <v>6</v>
      </c>
      <c r="F97" s="5" t="n">
        <v>9</v>
      </c>
      <c r="G97" s="5" t="n">
        <v>1</v>
      </c>
      <c r="H97" s="5" t="n">
        <v>9</v>
      </c>
      <c r="I97" s="5" t="n"/>
      <c r="J97" s="6">
        <f>COUNT(E97:I97)</f>
        <v/>
      </c>
      <c r="K97" s="7">
        <f>SUM(E97:I97)</f>
        <v/>
      </c>
      <c r="L97" s="8">
        <f>IF(J97=0,"",K97*5/J97)</f>
        <v/>
      </c>
      <c r="M97" s="8">
        <f>SUMPRODUCT($E$1:$I$1,E97:I97)</f>
        <v/>
      </c>
    </row>
    <row r="98">
      <c r="A98" s="4" t="n">
        <v>96</v>
      </c>
      <c r="B98" s="4" t="inlineStr">
        <is>
          <t>SYY</t>
        </is>
      </c>
      <c r="C98" s="4" t="inlineStr">
        <is>
          <t>Sysco</t>
        </is>
      </c>
      <c r="D98" s="4" t="inlineStr">
        <is>
          <t>US</t>
        </is>
      </c>
      <c r="E98" s="5" t="n">
        <v>4</v>
      </c>
      <c r="F98" s="5" t="n">
        <v>5</v>
      </c>
      <c r="G98" s="5" t="n">
        <v>10</v>
      </c>
      <c r="H98" s="5" t="n">
        <v>6</v>
      </c>
      <c r="I98" s="5" t="n"/>
      <c r="J98" s="6">
        <f>COUNT(E98:I98)</f>
        <v/>
      </c>
      <c r="K98" s="7">
        <f>SUM(E98:I98)</f>
        <v/>
      </c>
      <c r="L98" s="8">
        <f>IF(J98=0,"",K98*5/J98)</f>
        <v/>
      </c>
      <c r="M98" s="8">
        <f>SUMPRODUCT($E$1:$I$1,E98:I98)</f>
        <v/>
      </c>
    </row>
    <row r="99">
      <c r="A99" s="4" t="n">
        <v>97</v>
      </c>
      <c r="B99" s="4" t="inlineStr">
        <is>
          <t>RSG</t>
        </is>
      </c>
      <c r="C99" s="4" t="inlineStr">
        <is>
          <t>Republic Services</t>
        </is>
      </c>
      <c r="D99" s="4" t="inlineStr">
        <is>
          <t>US</t>
        </is>
      </c>
      <c r="E99" s="5" t="n">
        <v>4</v>
      </c>
      <c r="F99" s="5" t="n">
        <v>5</v>
      </c>
      <c r="G99" s="5" t="n">
        <v>6</v>
      </c>
      <c r="H99" s="5" t="n">
        <v>10</v>
      </c>
      <c r="I99" s="5" t="n"/>
      <c r="J99" s="6">
        <f>COUNT(E99:I99)</f>
        <v/>
      </c>
      <c r="K99" s="7">
        <f>SUM(E99:I99)</f>
        <v/>
      </c>
      <c r="L99" s="8">
        <f>IF(J99=0,"",K99*5/J99)</f>
        <v/>
      </c>
      <c r="M99" s="8">
        <f>SUMPRODUCT($E$1:$I$1,E99:I99)</f>
        <v/>
      </c>
    </row>
    <row r="100">
      <c r="A100" s="4" t="n">
        <v>98</v>
      </c>
      <c r="B100" s="4" t="inlineStr">
        <is>
          <t>MKC</t>
        </is>
      </c>
      <c r="C100" s="4" t="inlineStr">
        <is>
          <t>McCormick &amp; Company</t>
        </is>
      </c>
      <c r="D100" s="4" t="inlineStr">
        <is>
          <t>US</t>
        </is>
      </c>
      <c r="E100" s="5" t="n">
        <v>9</v>
      </c>
      <c r="F100" s="5" t="n">
        <v>3</v>
      </c>
      <c r="G100" s="5" t="n">
        <v>7</v>
      </c>
      <c r="H100" s="5" t="n">
        <v>6</v>
      </c>
      <c r="I100" s="5" t="n"/>
      <c r="J100" s="6">
        <f>COUNT(E100:I100)</f>
        <v/>
      </c>
      <c r="K100" s="7">
        <f>SUM(E100:I100)</f>
        <v/>
      </c>
      <c r="L100" s="8">
        <f>IF(J100=0,"",K100*5/J100)</f>
        <v/>
      </c>
      <c r="M100" s="8">
        <f>SUMPRODUCT($E$1:$I$1,E100:I100)</f>
        <v/>
      </c>
    </row>
    <row r="101">
      <c r="A101" s="4" t="n">
        <v>99</v>
      </c>
      <c r="B101" s="4" t="inlineStr">
        <is>
          <t>MCD</t>
        </is>
      </c>
      <c r="C101" s="4" t="inlineStr">
        <is>
          <t>McDonald's</t>
        </is>
      </c>
      <c r="D101" s="4" t="inlineStr">
        <is>
          <t>US</t>
        </is>
      </c>
      <c r="E101" s="5" t="n">
        <v>6</v>
      </c>
      <c r="F101" s="5" t="n">
        <v>9</v>
      </c>
      <c r="G101" s="5" t="n"/>
      <c r="H101" s="5" t="n">
        <v>10</v>
      </c>
      <c r="I101" s="5" t="n"/>
      <c r="J101" s="6">
        <f>COUNT(E101:I101)</f>
        <v/>
      </c>
      <c r="K101" s="7">
        <f>SUM(E101:I101)</f>
        <v/>
      </c>
      <c r="L101" s="8">
        <f>IF(J101=0,"",K101*5/J101)</f>
        <v/>
      </c>
      <c r="M101" s="8">
        <f>SUMPRODUCT($E$1:$I$1,E101:I101)</f>
        <v/>
      </c>
    </row>
    <row r="102">
      <c r="A102" s="4" t="n">
        <v>100</v>
      </c>
      <c r="B102" s="4" t="inlineStr">
        <is>
          <t>DE</t>
        </is>
      </c>
      <c r="C102" s="4" t="inlineStr">
        <is>
          <t>Deere &amp; Company</t>
        </is>
      </c>
      <c r="D102" s="4" t="inlineStr">
        <is>
          <t>US</t>
        </is>
      </c>
      <c r="E102" s="5" t="n">
        <v>3</v>
      </c>
      <c r="F102" s="5" t="n">
        <v>10</v>
      </c>
      <c r="G102" s="5" t="n">
        <v>6</v>
      </c>
      <c r="H102" s="5" t="n">
        <v>6</v>
      </c>
      <c r="I102" s="5" t="n"/>
      <c r="J102" s="6">
        <f>COUNT(E102:I102)</f>
        <v/>
      </c>
      <c r="K102" s="7">
        <f>SUM(E102:I102)</f>
        <v/>
      </c>
      <c r="L102" s="8">
        <f>IF(J102=0,"",K102*5/J102)</f>
        <v/>
      </c>
      <c r="M102" s="8">
        <f>SUMPRODUCT($E$1:$I$1,E102:I102)</f>
        <v/>
      </c>
    </row>
    <row r="103">
      <c r="A103" s="4" t="n">
        <v>101</v>
      </c>
      <c r="B103" s="4" t="inlineStr">
        <is>
          <t>EMN</t>
        </is>
      </c>
      <c r="C103" s="4" t="inlineStr">
        <is>
          <t>Eastman Chemical Company</t>
        </is>
      </c>
      <c r="D103" s="4" t="inlineStr">
        <is>
          <t>US</t>
        </is>
      </c>
      <c r="E103" s="5" t="n">
        <v>8</v>
      </c>
      <c r="F103" s="5" t="n">
        <v>7</v>
      </c>
      <c r="G103" s="5" t="n">
        <v>2</v>
      </c>
      <c r="H103" s="5" t="n">
        <v>8</v>
      </c>
      <c r="I103" s="5" t="n"/>
      <c r="J103" s="6">
        <f>COUNT(E103:I103)</f>
        <v/>
      </c>
      <c r="K103" s="7">
        <f>SUM(E103:I103)</f>
        <v/>
      </c>
      <c r="L103" s="8">
        <f>IF(J103=0,"",K103*5/J103)</f>
        <v/>
      </c>
      <c r="M103" s="8">
        <f>SUMPRODUCT($E$1:$I$1,E103:I103)</f>
        <v/>
      </c>
    </row>
    <row r="104">
      <c r="A104" s="4" t="n">
        <v>102</v>
      </c>
      <c r="B104" s="4" t="inlineStr">
        <is>
          <t>IFF</t>
        </is>
      </c>
      <c r="C104" s="4" t="inlineStr">
        <is>
          <t>International Flavors &amp; Fragrances</t>
        </is>
      </c>
      <c r="D104" s="4" t="inlineStr">
        <is>
          <t>US</t>
        </is>
      </c>
      <c r="E104" s="5" t="n">
        <v>8</v>
      </c>
      <c r="F104" s="5" t="n">
        <v>8</v>
      </c>
      <c r="G104" s="5" t="n">
        <v>2</v>
      </c>
      <c r="H104" s="5" t="n">
        <v>7</v>
      </c>
      <c r="I104" s="5" t="n"/>
      <c r="J104" s="6">
        <f>COUNT(E104:I104)</f>
        <v/>
      </c>
      <c r="K104" s="7">
        <f>SUM(E104:I104)</f>
        <v/>
      </c>
      <c r="L104" s="8">
        <f>IF(J104=0,"",K104*5/J104)</f>
        <v/>
      </c>
      <c r="M104" s="8">
        <f>SUMPRODUCT($E$1:$I$1,E104:I104)</f>
        <v/>
      </c>
    </row>
    <row r="105">
      <c r="A105" s="4" t="n">
        <v>103</v>
      </c>
      <c r="B105" s="4" t="inlineStr">
        <is>
          <t>IQV</t>
        </is>
      </c>
      <c r="C105" s="4" t="inlineStr">
        <is>
          <t>IQVIA</t>
        </is>
      </c>
      <c r="D105" s="4" t="inlineStr">
        <is>
          <t>US</t>
        </is>
      </c>
      <c r="E105" s="5" t="n">
        <v>5</v>
      </c>
      <c r="F105" s="5" t="n">
        <v>7</v>
      </c>
      <c r="G105" s="5" t="n">
        <v>7</v>
      </c>
      <c r="H105" s="5" t="n">
        <v>6</v>
      </c>
      <c r="I105" s="5" t="n"/>
      <c r="J105" s="6">
        <f>COUNT(E105:I105)</f>
        <v/>
      </c>
      <c r="K105" s="7">
        <f>SUM(E105:I105)</f>
        <v/>
      </c>
      <c r="L105" s="8">
        <f>IF(J105=0,"",K105*5/J105)</f>
        <v/>
      </c>
      <c r="M105" s="8">
        <f>SUMPRODUCT($E$1:$I$1,E105:I105)</f>
        <v/>
      </c>
    </row>
    <row r="106">
      <c r="A106" s="4" t="n">
        <v>104</v>
      </c>
      <c r="B106" s="4" t="inlineStr">
        <is>
          <t>NTAP</t>
        </is>
      </c>
      <c r="C106" s="4" t="inlineStr">
        <is>
          <t>NetApp</t>
        </is>
      </c>
      <c r="D106" s="4" t="inlineStr">
        <is>
          <t>US</t>
        </is>
      </c>
      <c r="E106" s="5" t="n">
        <v>3</v>
      </c>
      <c r="F106" s="5" t="n">
        <v>10</v>
      </c>
      <c r="G106" s="5" t="n">
        <v>10</v>
      </c>
      <c r="H106" s="5" t="n">
        <v>2</v>
      </c>
      <c r="I106" s="5" t="n"/>
      <c r="J106" s="6">
        <f>COUNT(E106:I106)</f>
        <v/>
      </c>
      <c r="K106" s="7">
        <f>SUM(E106:I106)</f>
        <v/>
      </c>
      <c r="L106" s="8">
        <f>IF(J106=0,"",K106*5/J106)</f>
        <v/>
      </c>
      <c r="M106" s="8">
        <f>SUMPRODUCT($E$1:$I$1,E106:I106)</f>
        <v/>
      </c>
    </row>
    <row r="107">
      <c r="A107" s="4" t="n">
        <v>105</v>
      </c>
      <c r="B107" s="4" t="inlineStr">
        <is>
          <t>MSI</t>
        </is>
      </c>
      <c r="C107" s="4" t="inlineStr">
        <is>
          <t>Motorola Solutions</t>
        </is>
      </c>
      <c r="D107" s="4" t="inlineStr">
        <is>
          <t>US</t>
        </is>
      </c>
      <c r="E107" s="5" t="n">
        <v>2</v>
      </c>
      <c r="F107" s="5" t="n">
        <v>6</v>
      </c>
      <c r="G107" s="5" t="n">
        <v>10</v>
      </c>
      <c r="H107" s="5" t="n">
        <v>7</v>
      </c>
      <c r="I107" s="5" t="n"/>
      <c r="J107" s="6">
        <f>COUNT(E107:I107)</f>
        <v/>
      </c>
      <c r="K107" s="7">
        <f>SUM(E107:I107)</f>
        <v/>
      </c>
      <c r="L107" s="8">
        <f>IF(J107=0,"",K107*5/J107)</f>
        <v/>
      </c>
      <c r="M107" s="8">
        <f>SUMPRODUCT($E$1:$I$1,E107:I107)</f>
        <v/>
      </c>
    </row>
    <row r="108">
      <c r="A108" s="4" t="n">
        <v>106</v>
      </c>
      <c r="B108" s="4" t="inlineStr">
        <is>
          <t>GIS</t>
        </is>
      </c>
      <c r="C108" s="4" t="inlineStr">
        <is>
          <t>General Mills</t>
        </is>
      </c>
      <c r="D108" s="4" t="inlineStr">
        <is>
          <t>US</t>
        </is>
      </c>
      <c r="E108" s="5" t="n">
        <v>8</v>
      </c>
      <c r="F108" s="5" t="n">
        <v>2</v>
      </c>
      <c r="G108" s="5" t="n">
        <v>9</v>
      </c>
      <c r="H108" s="5" t="n">
        <v>6</v>
      </c>
      <c r="I108" s="5" t="n"/>
      <c r="J108" s="6">
        <f>COUNT(E108:I108)</f>
        <v/>
      </c>
      <c r="K108" s="7">
        <f>SUM(E108:I108)</f>
        <v/>
      </c>
      <c r="L108" s="8">
        <f>IF(J108=0,"",K108*5/J108)</f>
        <v/>
      </c>
      <c r="M108" s="8">
        <f>SUMPRODUCT($E$1:$I$1,E108:I108)</f>
        <v/>
      </c>
    </row>
    <row r="109">
      <c r="A109" s="4" t="n">
        <v>107</v>
      </c>
      <c r="B109" s="4" t="inlineStr">
        <is>
          <t>WMT</t>
        </is>
      </c>
      <c r="C109" s="4" t="inlineStr">
        <is>
          <t>Walmart</t>
        </is>
      </c>
      <c r="D109" s="4" t="inlineStr">
        <is>
          <t>US</t>
        </is>
      </c>
      <c r="E109" s="5" t="n">
        <v>2</v>
      </c>
      <c r="F109" s="5" t="n">
        <v>10</v>
      </c>
      <c r="G109" s="5" t="n">
        <v>8</v>
      </c>
      <c r="H109" s="5" t="n">
        <v>5</v>
      </c>
      <c r="I109" s="5" t="n"/>
      <c r="J109" s="6">
        <f>COUNT(E109:I109)</f>
        <v/>
      </c>
      <c r="K109" s="7">
        <f>SUM(E109:I109)</f>
        <v/>
      </c>
      <c r="L109" s="8">
        <f>IF(J109=0,"",K109*5/J109)</f>
        <v/>
      </c>
      <c r="M109" s="8">
        <f>SUMPRODUCT($E$1:$I$1,E109:I109)</f>
        <v/>
      </c>
    </row>
    <row r="110">
      <c r="A110" s="4" t="n">
        <v>108</v>
      </c>
      <c r="B110" s="4" t="inlineStr">
        <is>
          <t>UNP</t>
        </is>
      </c>
      <c r="C110" s="4" t="inlineStr">
        <is>
          <t>Union Pacific Corporation</t>
        </is>
      </c>
      <c r="D110" s="4" t="inlineStr">
        <is>
          <t>US</t>
        </is>
      </c>
      <c r="E110" s="5" t="n">
        <v>4</v>
      </c>
      <c r="F110" s="5" t="n">
        <v>7</v>
      </c>
      <c r="G110" s="5" t="n">
        <v>9</v>
      </c>
      <c r="H110" s="5" t="n">
        <v>5</v>
      </c>
      <c r="I110" s="5" t="n"/>
      <c r="J110" s="6">
        <f>COUNT(E110:I110)</f>
        <v/>
      </c>
      <c r="K110" s="7">
        <f>SUM(E110:I110)</f>
        <v/>
      </c>
      <c r="L110" s="8">
        <f>IF(J110=0,"",K110*5/J110)</f>
        <v/>
      </c>
      <c r="M110" s="8">
        <f>SUMPRODUCT($E$1:$I$1,E110:I110)</f>
        <v/>
      </c>
    </row>
    <row r="111">
      <c r="A111" s="4" t="n">
        <v>109</v>
      </c>
      <c r="B111" s="4" t="inlineStr">
        <is>
          <t>VZ</t>
        </is>
      </c>
      <c r="C111" s="4" t="inlineStr">
        <is>
          <t>Verizon</t>
        </is>
      </c>
      <c r="D111" s="4" t="inlineStr">
        <is>
          <t>US</t>
        </is>
      </c>
      <c r="E111" s="5" t="n">
        <v>9</v>
      </c>
      <c r="F111" s="5" t="n">
        <v>4</v>
      </c>
      <c r="G111" s="5" t="n">
        <v>6</v>
      </c>
      <c r="H111" s="5" t="n">
        <v>6</v>
      </c>
      <c r="I111" s="5" t="n"/>
      <c r="J111" s="6">
        <f>COUNT(E111:I111)</f>
        <v/>
      </c>
      <c r="K111" s="7">
        <f>SUM(E111:I111)</f>
        <v/>
      </c>
      <c r="L111" s="8">
        <f>IF(J111=0,"",K111*5/J111)</f>
        <v/>
      </c>
      <c r="M111" s="8">
        <f>SUMPRODUCT($E$1:$I$1,E111:I111)</f>
        <v/>
      </c>
    </row>
    <row r="112">
      <c r="A112" s="4" t="n">
        <v>110</v>
      </c>
      <c r="B112" s="4" t="inlineStr">
        <is>
          <t>UNH</t>
        </is>
      </c>
      <c r="C112" s="4" t="inlineStr">
        <is>
          <t>UnitedHealth Group</t>
        </is>
      </c>
      <c r="D112" s="4" t="inlineStr">
        <is>
          <t>US</t>
        </is>
      </c>
      <c r="E112" s="5" t="n">
        <v>4</v>
      </c>
      <c r="F112" s="5" t="n">
        <v>9</v>
      </c>
      <c r="G112" s="5" t="n">
        <v>4</v>
      </c>
      <c r="H112" s="5" t="n">
        <v>8</v>
      </c>
      <c r="I112" s="5" t="n"/>
      <c r="J112" s="6">
        <f>COUNT(E112:I112)</f>
        <v/>
      </c>
      <c r="K112" s="7">
        <f>SUM(E112:I112)</f>
        <v/>
      </c>
      <c r="L112" s="8">
        <f>IF(J112=0,"",K112*5/J112)</f>
        <v/>
      </c>
      <c r="M112" s="8">
        <f>SUMPRODUCT($E$1:$I$1,E112:I112)</f>
        <v/>
      </c>
    </row>
    <row r="113">
      <c r="A113" s="4" t="n">
        <v>111</v>
      </c>
      <c r="B113" s="4" t="inlineStr">
        <is>
          <t>AAPL</t>
        </is>
      </c>
      <c r="C113" s="4" t="inlineStr">
        <is>
          <t>Apple Inc.</t>
        </is>
      </c>
      <c r="D113" s="4" t="inlineStr">
        <is>
          <t>US</t>
        </is>
      </c>
      <c r="E113" s="5" t="n">
        <v>2</v>
      </c>
      <c r="F113" s="5" t="n">
        <v>8</v>
      </c>
      <c r="G113" s="5" t="n">
        <v>10</v>
      </c>
      <c r="H113" s="5" t="n">
        <v>5</v>
      </c>
      <c r="I113" s="5" t="n"/>
      <c r="J113" s="6">
        <f>COUNT(E113:I113)</f>
        <v/>
      </c>
      <c r="K113" s="7">
        <f>SUM(E113:I113)</f>
        <v/>
      </c>
      <c r="L113" s="8">
        <f>IF(J113=0,"",K113*5/J113)</f>
        <v/>
      </c>
      <c r="M113" s="8">
        <f>SUMPRODUCT($E$1:$I$1,E113:I113)</f>
        <v/>
      </c>
    </row>
    <row r="114">
      <c r="A114" s="4" t="n">
        <v>112</v>
      </c>
      <c r="B114" s="4" t="inlineStr">
        <is>
          <t>AWK</t>
        </is>
      </c>
      <c r="C114" s="4" t="inlineStr">
        <is>
          <t>American Water Works</t>
        </is>
      </c>
      <c r="D114" s="4" t="inlineStr">
        <is>
          <t>US</t>
        </is>
      </c>
      <c r="E114" s="5" t="n">
        <v>7</v>
      </c>
      <c r="F114" s="5" t="n">
        <v>6</v>
      </c>
      <c r="G114" s="5" t="n">
        <v>3</v>
      </c>
      <c r="H114" s="5" t="n">
        <v>9</v>
      </c>
      <c r="I114" s="5" t="n"/>
      <c r="J114" s="6">
        <f>COUNT(E114:I114)</f>
        <v/>
      </c>
      <c r="K114" s="7">
        <f>SUM(E114:I114)</f>
        <v/>
      </c>
      <c r="L114" s="8">
        <f>IF(J114=0,"",K114*5/J114)</f>
        <v/>
      </c>
      <c r="M114" s="8">
        <f>SUMPRODUCT($E$1:$I$1,E114:I114)</f>
        <v/>
      </c>
    </row>
    <row r="115">
      <c r="A115" s="4" t="n">
        <v>113</v>
      </c>
      <c r="B115" s="4" t="inlineStr">
        <is>
          <t>AEP</t>
        </is>
      </c>
      <c r="C115" s="4" t="inlineStr">
        <is>
          <t>American Electric Power</t>
        </is>
      </c>
      <c r="D115" s="4" t="inlineStr">
        <is>
          <t>US</t>
        </is>
      </c>
      <c r="E115" s="5" t="n">
        <v>7</v>
      </c>
      <c r="F115" s="5" t="n">
        <v>4</v>
      </c>
      <c r="G115" s="5" t="n">
        <v>4</v>
      </c>
      <c r="H115" s="5" t="n">
        <v>10</v>
      </c>
      <c r="I115" s="5" t="n"/>
      <c r="J115" s="6">
        <f>COUNT(E115:I115)</f>
        <v/>
      </c>
      <c r="K115" s="7">
        <f>SUM(E115:I115)</f>
        <v/>
      </c>
      <c r="L115" s="8">
        <f>IF(J115=0,"",K115*5/J115)</f>
        <v/>
      </c>
      <c r="M115" s="8">
        <f>SUMPRODUCT($E$1:$I$1,E115:I115)</f>
        <v/>
      </c>
    </row>
    <row r="116">
      <c r="A116" s="4" t="n">
        <v>114</v>
      </c>
      <c r="B116" s="4" t="inlineStr">
        <is>
          <t>ALLE</t>
        </is>
      </c>
      <c r="C116" s="4" t="inlineStr">
        <is>
          <t>Allegion</t>
        </is>
      </c>
      <c r="D116" s="4" t="inlineStr">
        <is>
          <t>US</t>
        </is>
      </c>
      <c r="E116" s="5" t="n">
        <v>5</v>
      </c>
      <c r="F116" s="5" t="n">
        <v>6</v>
      </c>
      <c r="G116" s="5" t="n">
        <v>8</v>
      </c>
      <c r="H116" s="5" t="n">
        <v>6</v>
      </c>
      <c r="I116" s="5" t="n"/>
      <c r="J116" s="6">
        <f>COUNT(E116:I116)</f>
        <v/>
      </c>
      <c r="K116" s="7">
        <f>SUM(E116:I116)</f>
        <v/>
      </c>
      <c r="L116" s="8">
        <f>IF(J116=0,"",K116*5/J116)</f>
        <v/>
      </c>
      <c r="M116" s="8">
        <f>SUMPRODUCT($E$1:$I$1,E116:I116)</f>
        <v/>
      </c>
    </row>
    <row r="117">
      <c r="A117" s="4" t="n">
        <v>115</v>
      </c>
      <c r="B117" s="4" t="inlineStr">
        <is>
          <t>AEE</t>
        </is>
      </c>
      <c r="C117" s="4" t="inlineStr">
        <is>
          <t>Ameren</t>
        </is>
      </c>
      <c r="D117" s="4" t="inlineStr">
        <is>
          <t>US</t>
        </is>
      </c>
      <c r="E117" s="5" t="n">
        <v>7</v>
      </c>
      <c r="F117" s="5" t="n">
        <v>4</v>
      </c>
      <c r="G117" s="5" t="n">
        <v>4</v>
      </c>
      <c r="H117" s="5" t="n">
        <v>10</v>
      </c>
      <c r="I117" s="5" t="n"/>
      <c r="J117" s="6">
        <f>COUNT(E117:I117)</f>
        <v/>
      </c>
      <c r="K117" s="7">
        <f>SUM(E117:I117)</f>
        <v/>
      </c>
      <c r="L117" s="8">
        <f>IF(J117=0,"",K117*5/J117)</f>
        <v/>
      </c>
      <c r="M117" s="8">
        <f>SUMPRODUCT($E$1:$I$1,E117:I117)</f>
        <v/>
      </c>
    </row>
    <row r="118">
      <c r="A118" s="4" t="n">
        <v>116</v>
      </c>
      <c r="B118" s="4" t="inlineStr">
        <is>
          <t>APD</t>
        </is>
      </c>
      <c r="C118" s="4" t="inlineStr">
        <is>
          <t>Air Products</t>
        </is>
      </c>
      <c r="D118" s="4" t="inlineStr">
        <is>
          <t>US</t>
        </is>
      </c>
      <c r="E118" s="5" t="n">
        <v>4</v>
      </c>
      <c r="F118" s="5" t="n">
        <v>6</v>
      </c>
      <c r="G118" s="5" t="n">
        <v>5</v>
      </c>
      <c r="H118" s="5" t="n">
        <v>9</v>
      </c>
      <c r="I118" s="5" t="n"/>
      <c r="J118" s="6">
        <f>COUNT(E118:I118)</f>
        <v/>
      </c>
      <c r="K118" s="7">
        <f>SUM(E118:I118)</f>
        <v/>
      </c>
      <c r="L118" s="8">
        <f>IF(J118=0,"",K118*5/J118)</f>
        <v/>
      </c>
      <c r="M118" s="8">
        <f>SUMPRODUCT($E$1:$I$1,E118:I118)</f>
        <v/>
      </c>
    </row>
    <row r="119">
      <c r="A119" s="4" t="n">
        <v>117</v>
      </c>
      <c r="B119" s="4" t="inlineStr">
        <is>
          <t>LNT</t>
        </is>
      </c>
      <c r="C119" s="4" t="inlineStr">
        <is>
          <t>Alliant Energy</t>
        </is>
      </c>
      <c r="D119" s="4" t="inlineStr">
        <is>
          <t>US</t>
        </is>
      </c>
      <c r="E119" s="5" t="n">
        <v>6</v>
      </c>
      <c r="F119" s="5" t="n">
        <v>4</v>
      </c>
      <c r="G119" s="5" t="n">
        <v>4</v>
      </c>
      <c r="H119" s="5" t="n">
        <v>10</v>
      </c>
      <c r="I119" s="5" t="n"/>
      <c r="J119" s="6">
        <f>COUNT(E119:I119)</f>
        <v/>
      </c>
      <c r="K119" s="7">
        <f>SUM(E119:I119)</f>
        <v/>
      </c>
      <c r="L119" s="8">
        <f>IF(J119=0,"",K119*5/J119)</f>
        <v/>
      </c>
      <c r="M119" s="8">
        <f>SUMPRODUCT($E$1:$I$1,E119:I119)</f>
        <v/>
      </c>
    </row>
    <row r="120">
      <c r="A120" s="4" t="n">
        <v>118</v>
      </c>
      <c r="B120" s="4" t="inlineStr">
        <is>
          <t>ARE</t>
        </is>
      </c>
      <c r="C120" s="4" t="inlineStr">
        <is>
          <t>Alexandria Real Estate Equities</t>
        </is>
      </c>
      <c r="D120" s="4" t="inlineStr">
        <is>
          <t>US</t>
        </is>
      </c>
      <c r="E120" s="5" t="n">
        <v>10</v>
      </c>
      <c r="F120" s="5" t="n">
        <v>4</v>
      </c>
      <c r="G120" s="5" t="n">
        <v>1</v>
      </c>
      <c r="H120" s="5" t="n">
        <v>9</v>
      </c>
      <c r="I120" s="5" t="n"/>
      <c r="J120" s="6">
        <f>COUNT(E120:I120)</f>
        <v/>
      </c>
      <c r="K120" s="7">
        <f>SUM(E120:I120)</f>
        <v/>
      </c>
      <c r="L120" s="8">
        <f>IF(J120=0,"",K120*5/J120)</f>
        <v/>
      </c>
      <c r="M120" s="8">
        <f>SUMPRODUCT($E$1:$I$1,E120:I120)</f>
        <v/>
      </c>
    </row>
    <row r="121">
      <c r="A121" s="4" t="n">
        <v>119</v>
      </c>
      <c r="B121" s="4" t="inlineStr">
        <is>
          <t>XEL</t>
        </is>
      </c>
      <c r="C121" s="4" t="inlineStr">
        <is>
          <t>Xcel Energy</t>
        </is>
      </c>
      <c r="D121" s="4" t="inlineStr">
        <is>
          <t>US</t>
        </is>
      </c>
      <c r="E121" s="5" t="n">
        <v>7</v>
      </c>
      <c r="F121" s="5" t="n">
        <v>4</v>
      </c>
      <c r="G121" s="5" t="n">
        <v>3</v>
      </c>
      <c r="H121" s="5" t="n">
        <v>10</v>
      </c>
      <c r="I121" s="5" t="n"/>
      <c r="J121" s="6">
        <f>COUNT(E121:I121)</f>
        <v/>
      </c>
      <c r="K121" s="7">
        <f>SUM(E121:I121)</f>
        <v/>
      </c>
      <c r="L121" s="8">
        <f>IF(J121=0,"",K121*5/J121)</f>
        <v/>
      </c>
      <c r="M121" s="8">
        <f>SUMPRODUCT($E$1:$I$1,E121:I121)</f>
        <v/>
      </c>
    </row>
    <row r="122">
      <c r="A122" s="4" t="n">
        <v>120</v>
      </c>
      <c r="B122" s="4" t="inlineStr">
        <is>
          <t>GD</t>
        </is>
      </c>
      <c r="C122" s="4" t="inlineStr">
        <is>
          <t>General Dynamics</t>
        </is>
      </c>
      <c r="D122" s="4" t="inlineStr">
        <is>
          <t>US</t>
        </is>
      </c>
      <c r="E122" s="5" t="n">
        <v>6</v>
      </c>
      <c r="F122" s="5" t="n">
        <v>4</v>
      </c>
      <c r="G122" s="5" t="n">
        <v>6</v>
      </c>
      <c r="H122" s="5" t="n">
        <v>8</v>
      </c>
      <c r="I122" s="5" t="n"/>
      <c r="J122" s="6">
        <f>COUNT(E122:I122)</f>
        <v/>
      </c>
      <c r="K122" s="7">
        <f>SUM(E122:I122)</f>
        <v/>
      </c>
      <c r="L122" s="8">
        <f>IF(J122=0,"",K122*5/J122)</f>
        <v/>
      </c>
      <c r="M122" s="8">
        <f>SUMPRODUCT($E$1:$I$1,E122:I122)</f>
        <v/>
      </c>
    </row>
    <row r="123">
      <c r="A123" s="4" t="n">
        <v>121</v>
      </c>
      <c r="B123" s="4" t="inlineStr">
        <is>
          <t>WEC</t>
        </is>
      </c>
      <c r="C123" s="4" t="inlineStr">
        <is>
          <t>WEC Energy Group</t>
        </is>
      </c>
      <c r="D123" s="4" t="inlineStr">
        <is>
          <t>US</t>
        </is>
      </c>
      <c r="E123" s="5" t="n">
        <v>6</v>
      </c>
      <c r="F123" s="5" t="n">
        <v>4</v>
      </c>
      <c r="G123" s="5" t="n">
        <v>4</v>
      </c>
      <c r="H123" s="5" t="n">
        <v>10</v>
      </c>
      <c r="I123" s="5" t="n"/>
      <c r="J123" s="6">
        <f>COUNT(E123:I123)</f>
        <v/>
      </c>
      <c r="K123" s="7">
        <f>SUM(E123:I123)</f>
        <v/>
      </c>
      <c r="L123" s="8">
        <f>IF(J123=0,"",K123*5/J123)</f>
        <v/>
      </c>
      <c r="M123" s="8">
        <f>SUMPRODUCT($E$1:$I$1,E123:I123)</f>
        <v/>
      </c>
    </row>
    <row r="124">
      <c r="A124" s="4" t="n">
        <v>122</v>
      </c>
      <c r="B124" s="4" t="inlineStr">
        <is>
          <t>D</t>
        </is>
      </c>
      <c r="C124" s="4" t="inlineStr">
        <is>
          <t>Dominion Energy</t>
        </is>
      </c>
      <c r="D124" s="4" t="inlineStr">
        <is>
          <t>US</t>
        </is>
      </c>
      <c r="E124" s="5" t="n">
        <v>7</v>
      </c>
      <c r="F124" s="5" t="n">
        <v>3</v>
      </c>
      <c r="G124" s="5" t="n">
        <v>4</v>
      </c>
      <c r="H124" s="5" t="n">
        <v>10</v>
      </c>
      <c r="I124" s="5" t="n"/>
      <c r="J124" s="6">
        <f>COUNT(E124:I124)</f>
        <v/>
      </c>
      <c r="K124" s="7">
        <f>SUM(E124:I124)</f>
        <v/>
      </c>
      <c r="L124" s="8">
        <f>IF(J124=0,"",K124*5/J124)</f>
        <v/>
      </c>
      <c r="M124" s="8">
        <f>SUMPRODUCT($E$1:$I$1,E124:I124)</f>
        <v/>
      </c>
    </row>
    <row r="125">
      <c r="A125" s="4" t="n">
        <v>123</v>
      </c>
      <c r="B125" s="4" t="inlineStr">
        <is>
          <t>KMB</t>
        </is>
      </c>
      <c r="C125" s="4" t="inlineStr">
        <is>
          <t>Kimberly-Clark</t>
        </is>
      </c>
      <c r="D125" s="4" t="inlineStr">
        <is>
          <t>US</t>
        </is>
      </c>
      <c r="E125" s="5" t="n">
        <v>4</v>
      </c>
      <c r="F125" s="5" t="n">
        <v>2</v>
      </c>
      <c r="G125" s="5" t="n">
        <v>10</v>
      </c>
      <c r="H125" s="5" t="n">
        <v>8</v>
      </c>
      <c r="I125" s="5" t="n"/>
      <c r="J125" s="6">
        <f>COUNT(E125:I125)</f>
        <v/>
      </c>
      <c r="K125" s="7">
        <f>SUM(E125:I125)</f>
        <v/>
      </c>
      <c r="L125" s="8">
        <f>IF(J125=0,"",K125*5/J125)</f>
        <v/>
      </c>
      <c r="M125" s="8">
        <f>SUMPRODUCT($E$1:$I$1,E125:I125)</f>
        <v/>
      </c>
    </row>
    <row r="126">
      <c r="A126" s="4" t="n">
        <v>124</v>
      </c>
      <c r="B126" s="4" t="inlineStr">
        <is>
          <t>ECL</t>
        </is>
      </c>
      <c r="C126" s="4" t="inlineStr">
        <is>
          <t>Ecolab</t>
        </is>
      </c>
      <c r="D126" s="4" t="inlineStr">
        <is>
          <t>US</t>
        </is>
      </c>
      <c r="E126" s="5" t="n">
        <v>2</v>
      </c>
      <c r="F126" s="5" t="n">
        <v>5</v>
      </c>
      <c r="G126" s="5" t="n">
        <v>7</v>
      </c>
      <c r="H126" s="5" t="n">
        <v>10</v>
      </c>
      <c r="I126" s="5" t="n"/>
      <c r="J126" s="6">
        <f>COUNT(E126:I126)</f>
        <v/>
      </c>
      <c r="K126" s="7">
        <f>SUM(E126:I126)</f>
        <v/>
      </c>
      <c r="L126" s="8">
        <f>IF(J126=0,"",K126*5/J126)</f>
        <v/>
      </c>
      <c r="M126" s="8">
        <f>SUMPRODUCT($E$1:$I$1,E126:I126)</f>
        <v/>
      </c>
    </row>
    <row r="127">
      <c r="A127" s="4" t="n">
        <v>125</v>
      </c>
      <c r="B127" s="4" t="inlineStr">
        <is>
          <t>DUK</t>
        </is>
      </c>
      <c r="C127" s="4" t="inlineStr">
        <is>
          <t>Duke Energy</t>
        </is>
      </c>
      <c r="D127" s="4" t="inlineStr">
        <is>
          <t>US</t>
        </is>
      </c>
      <c r="E127" s="5" t="n">
        <v>8</v>
      </c>
      <c r="F127" s="5" t="n">
        <v>3</v>
      </c>
      <c r="G127" s="5" t="n">
        <v>3</v>
      </c>
      <c r="H127" s="5" t="n">
        <v>10</v>
      </c>
      <c r="I127" s="5" t="n"/>
      <c r="J127" s="6">
        <f>COUNT(E127:I127)</f>
        <v/>
      </c>
      <c r="K127" s="7">
        <f>SUM(E127:I127)</f>
        <v/>
      </c>
      <c r="L127" s="8">
        <f>IF(J127=0,"",K127*5/J127)</f>
        <v/>
      </c>
      <c r="M127" s="8">
        <f>SUMPRODUCT($E$1:$I$1,E127:I127)</f>
        <v/>
      </c>
    </row>
    <row r="128">
      <c r="A128" s="4" t="n">
        <v>126</v>
      </c>
      <c r="B128" s="4" t="inlineStr">
        <is>
          <t>CAT</t>
        </is>
      </c>
      <c r="C128" s="4" t="inlineStr">
        <is>
          <t>Caterpillar Inc.</t>
        </is>
      </c>
      <c r="D128" s="4" t="inlineStr">
        <is>
          <t>US</t>
        </is>
      </c>
      <c r="E128" s="5" t="n">
        <v>1</v>
      </c>
      <c r="F128" s="5" t="n">
        <v>10</v>
      </c>
      <c r="G128" s="5" t="n">
        <v>9</v>
      </c>
      <c r="H128" s="5" t="n">
        <v>4</v>
      </c>
      <c r="I128" s="5" t="n"/>
      <c r="J128" s="6">
        <f>COUNT(E128:I128)</f>
        <v/>
      </c>
      <c r="K128" s="7">
        <f>SUM(E128:I128)</f>
        <v/>
      </c>
      <c r="L128" s="8">
        <f>IF(J128=0,"",K128*5/J128)</f>
        <v/>
      </c>
      <c r="M128" s="8">
        <f>SUMPRODUCT($E$1:$I$1,E128:I128)</f>
        <v/>
      </c>
    </row>
    <row r="129">
      <c r="A129" s="4" t="n">
        <v>127</v>
      </c>
      <c r="B129" s="4" t="inlineStr">
        <is>
          <t>CSCO</t>
        </is>
      </c>
      <c r="C129" s="4" t="inlineStr">
        <is>
          <t>Cisco</t>
        </is>
      </c>
      <c r="D129" s="4" t="inlineStr">
        <is>
          <t>US</t>
        </is>
      </c>
      <c r="E129" s="5" t="n">
        <v>2</v>
      </c>
      <c r="F129" s="5" t="n">
        <v>7</v>
      </c>
      <c r="G129" s="5" t="n">
        <v>8</v>
      </c>
      <c r="H129" s="5" t="n">
        <v>7</v>
      </c>
      <c r="I129" s="5" t="n"/>
      <c r="J129" s="6">
        <f>COUNT(E129:I129)</f>
        <v/>
      </c>
      <c r="K129" s="7">
        <f>SUM(E129:I129)</f>
        <v/>
      </c>
      <c r="L129" s="8">
        <f>IF(J129=0,"",K129*5/J129)</f>
        <v/>
      </c>
      <c r="M129" s="8">
        <f>SUMPRODUCT($E$1:$I$1,E129:I129)</f>
        <v/>
      </c>
    </row>
    <row r="130">
      <c r="A130" s="4" t="n">
        <v>128</v>
      </c>
      <c r="B130" s="4" t="inlineStr">
        <is>
          <t>PNR</t>
        </is>
      </c>
      <c r="C130" s="4" t="inlineStr">
        <is>
          <t>Pentair</t>
        </is>
      </c>
      <c r="D130" s="4" t="inlineStr">
        <is>
          <t>US</t>
        </is>
      </c>
      <c r="E130" s="5" t="n">
        <v>6</v>
      </c>
      <c r="F130" s="5" t="n">
        <v>7</v>
      </c>
      <c r="G130" s="5" t="n">
        <v>6</v>
      </c>
      <c r="H130" s="5" t="n">
        <v>5</v>
      </c>
      <c r="I130" s="5" t="n"/>
      <c r="J130" s="6">
        <f>COUNT(E130:I130)</f>
        <v/>
      </c>
      <c r="K130" s="7">
        <f>SUM(E130:I130)</f>
        <v/>
      </c>
      <c r="L130" s="8">
        <f>IF(J130=0,"",K130*5/J130)</f>
        <v/>
      </c>
      <c r="M130" s="8">
        <f>SUMPRODUCT($E$1:$I$1,E130:I130)</f>
        <v/>
      </c>
    </row>
    <row r="131">
      <c r="A131" s="4" t="n">
        <v>129</v>
      </c>
      <c r="B131" s="4" t="inlineStr">
        <is>
          <t>CMS</t>
        </is>
      </c>
      <c r="C131" s="4" t="inlineStr">
        <is>
          <t>CMS Energy</t>
        </is>
      </c>
      <c r="D131" s="4" t="inlineStr">
        <is>
          <t>US</t>
        </is>
      </c>
      <c r="E131" s="5" t="n">
        <v>6</v>
      </c>
      <c r="F131" s="5" t="n">
        <v>4</v>
      </c>
      <c r="G131" s="5" t="n">
        <v>4</v>
      </c>
      <c r="H131" s="5" t="n">
        <v>10</v>
      </c>
      <c r="I131" s="5" t="n"/>
      <c r="J131" s="6">
        <f>COUNT(E131:I131)</f>
        <v/>
      </c>
      <c r="K131" s="7">
        <f>SUM(E131:I131)</f>
        <v/>
      </c>
      <c r="L131" s="8">
        <f>IF(J131=0,"",K131*5/J131)</f>
        <v/>
      </c>
      <c r="M131" s="8">
        <f>SUMPRODUCT($E$1:$I$1,E131:I131)</f>
        <v/>
      </c>
    </row>
    <row r="132">
      <c r="A132" s="4" t="n">
        <v>130</v>
      </c>
      <c r="B132" s="4" t="inlineStr">
        <is>
          <t>CMCSA</t>
        </is>
      </c>
      <c r="C132" s="4" t="inlineStr">
        <is>
          <t>Comcast</t>
        </is>
      </c>
      <c r="D132" s="4" t="inlineStr">
        <is>
          <t>US</t>
        </is>
      </c>
      <c r="E132" s="5" t="n">
        <v>10</v>
      </c>
      <c r="F132" s="5" t="n">
        <v>3</v>
      </c>
      <c r="G132" s="5" t="n">
        <v>7</v>
      </c>
      <c r="H132" s="5" t="n">
        <v>4</v>
      </c>
      <c r="I132" s="5" t="n"/>
      <c r="J132" s="6">
        <f>COUNT(E132:I132)</f>
        <v/>
      </c>
      <c r="K132" s="7">
        <f>SUM(E132:I132)</f>
        <v/>
      </c>
      <c r="L132" s="8">
        <f>IF(J132=0,"",K132*5/J132)</f>
        <v/>
      </c>
      <c r="M132" s="8">
        <f>SUMPRODUCT($E$1:$I$1,E132:I132)</f>
        <v/>
      </c>
    </row>
    <row r="133">
      <c r="A133" s="4" t="n">
        <v>131</v>
      </c>
      <c r="B133" s="4" t="inlineStr">
        <is>
          <t>NVDA</t>
        </is>
      </c>
      <c r="C133" s="4" t="inlineStr">
        <is>
          <t>Nvidia</t>
        </is>
      </c>
      <c r="D133" s="4" t="inlineStr">
        <is>
          <t>US</t>
        </is>
      </c>
      <c r="E133" s="5" t="n">
        <v>3</v>
      </c>
      <c r="F133" s="5" t="n">
        <v>10</v>
      </c>
      <c r="G133" s="5" t="n">
        <v>10</v>
      </c>
      <c r="H133" s="5" t="n">
        <v>1</v>
      </c>
      <c r="I133" s="5" t="n"/>
      <c r="J133" s="6">
        <f>COUNT(E133:I133)</f>
        <v/>
      </c>
      <c r="K133" s="7">
        <f>SUM(E133:I133)</f>
        <v/>
      </c>
      <c r="L133" s="8">
        <f>IF(J133=0,"",K133*5/J133)</f>
        <v/>
      </c>
      <c r="M133" s="8">
        <f>SUMPRODUCT($E$1:$I$1,E133:I133)</f>
        <v/>
      </c>
    </row>
    <row r="134">
      <c r="A134" s="4" t="n">
        <v>132</v>
      </c>
      <c r="B134" s="4" t="inlineStr">
        <is>
          <t>SCHW</t>
        </is>
      </c>
      <c r="C134" s="4" t="inlineStr">
        <is>
          <t>Charles Schwab Corporation</t>
        </is>
      </c>
      <c r="D134" s="4" t="inlineStr">
        <is>
          <t>US</t>
        </is>
      </c>
      <c r="E134" s="5" t="n">
        <v>6</v>
      </c>
      <c r="F134" s="5" t="n">
        <v>8</v>
      </c>
      <c r="G134" s="5" t="n">
        <v>7</v>
      </c>
      <c r="H134" s="5" t="n">
        <v>3</v>
      </c>
      <c r="I134" s="5" t="n"/>
      <c r="J134" s="6">
        <f>COUNT(E134:I134)</f>
        <v/>
      </c>
      <c r="K134" s="7">
        <f>SUM(E134:I134)</f>
        <v/>
      </c>
      <c r="L134" s="8">
        <f>IF(J134=0,"",K134*5/J134)</f>
        <v/>
      </c>
      <c r="M134" s="8">
        <f>SUMPRODUCT($E$1:$I$1,E134:I134)</f>
        <v/>
      </c>
    </row>
    <row r="135">
      <c r="A135" s="4" t="n">
        <v>133</v>
      </c>
      <c r="B135" s="4" t="inlineStr">
        <is>
          <t>PKG</t>
        </is>
      </c>
      <c r="C135" s="4" t="inlineStr">
        <is>
          <t>Packaging Corporation of America</t>
        </is>
      </c>
      <c r="D135" s="4" t="inlineStr">
        <is>
          <t>US</t>
        </is>
      </c>
      <c r="E135" s="5" t="n">
        <v>4</v>
      </c>
      <c r="F135" s="5" t="n">
        <v>8</v>
      </c>
      <c r="G135" s="5" t="n">
        <v>6</v>
      </c>
      <c r="H135" s="5" t="n">
        <v>6</v>
      </c>
      <c r="I135" s="5" t="n"/>
      <c r="J135" s="6">
        <f>COUNT(E135:I135)</f>
        <v/>
      </c>
      <c r="K135" s="7">
        <f>SUM(E135:I135)</f>
        <v/>
      </c>
      <c r="L135" s="8">
        <f>IF(J135=0,"",K135*5/J135)</f>
        <v/>
      </c>
      <c r="M135" s="8">
        <f>SUMPRODUCT($E$1:$I$1,E135:I135)</f>
        <v/>
      </c>
    </row>
    <row r="136">
      <c r="A136" s="4" t="n">
        <v>134</v>
      </c>
      <c r="B136" s="4" t="inlineStr">
        <is>
          <t>ORCL</t>
        </is>
      </c>
      <c r="C136" s="4" t="inlineStr">
        <is>
          <t>Oracle Corporation</t>
        </is>
      </c>
      <c r="D136" s="4" t="inlineStr">
        <is>
          <t>US</t>
        </is>
      </c>
      <c r="E136" s="5" t="n">
        <v>4</v>
      </c>
      <c r="F136" s="5" t="n">
        <v>6</v>
      </c>
      <c r="G136" s="5" t="n">
        <v>9</v>
      </c>
      <c r="H136" s="5" t="n">
        <v>5</v>
      </c>
      <c r="I136" s="5" t="n"/>
      <c r="J136" s="6">
        <f>COUNT(E136:I136)</f>
        <v/>
      </c>
      <c r="K136" s="7">
        <f>SUM(E136:I136)</f>
        <v/>
      </c>
      <c r="L136" s="8">
        <f>IF(J136=0,"",K136*5/J136)</f>
        <v/>
      </c>
      <c r="M136" s="8">
        <f>SUMPRODUCT($E$1:$I$1,E136:I136)</f>
        <v/>
      </c>
    </row>
    <row r="137">
      <c r="A137" s="4" t="n">
        <v>135</v>
      </c>
      <c r="B137" s="4" t="inlineStr">
        <is>
          <t>MU</t>
        </is>
      </c>
      <c r="C137" s="4" t="inlineStr">
        <is>
          <t>Micron Technology</t>
        </is>
      </c>
      <c r="D137" s="4" t="inlineStr">
        <is>
          <t>US</t>
        </is>
      </c>
      <c r="E137" s="5" t="n">
        <v>3</v>
      </c>
      <c r="F137" s="5" t="n">
        <v>10</v>
      </c>
      <c r="G137" s="5" t="n">
        <v>10</v>
      </c>
      <c r="H137" s="5" t="n">
        <v>1</v>
      </c>
      <c r="I137" s="5" t="n"/>
      <c r="J137" s="6">
        <f>COUNT(E137:I137)</f>
        <v/>
      </c>
      <c r="K137" s="7">
        <f>SUM(E137:I137)</f>
        <v/>
      </c>
      <c r="L137" s="8">
        <f>IF(J137=0,"",K137*5/J137)</f>
        <v/>
      </c>
      <c r="M137" s="8">
        <f>SUMPRODUCT($E$1:$I$1,E137:I137)</f>
        <v/>
      </c>
    </row>
    <row r="138">
      <c r="A138" s="4" t="n">
        <v>136</v>
      </c>
      <c r="B138" s="4" t="inlineStr">
        <is>
          <t>NFLX</t>
        </is>
      </c>
      <c r="C138" s="4" t="inlineStr">
        <is>
          <t>Netflix</t>
        </is>
      </c>
      <c r="D138" s="4" t="inlineStr">
        <is>
          <t>US</t>
        </is>
      </c>
      <c r="E138" s="5" t="n">
        <v>4</v>
      </c>
      <c r="F138" s="5" t="n">
        <v>10</v>
      </c>
      <c r="G138" s="5" t="n">
        <v>9</v>
      </c>
      <c r="H138" s="5" t="n">
        <v>1</v>
      </c>
      <c r="I138" s="5" t="n"/>
      <c r="J138" s="6">
        <f>COUNT(E138:I138)</f>
        <v/>
      </c>
      <c r="K138" s="7">
        <f>SUM(E138:I138)</f>
        <v/>
      </c>
      <c r="L138" s="8">
        <f>IF(J138=0,"",K138*5/J138)</f>
        <v/>
      </c>
      <c r="M138" s="8">
        <f>SUMPRODUCT($E$1:$I$1,E138:I138)</f>
        <v/>
      </c>
    </row>
    <row r="139">
      <c r="A139" s="4" t="n">
        <v>137</v>
      </c>
      <c r="B139" s="4" t="inlineStr">
        <is>
          <t>MPC</t>
        </is>
      </c>
      <c r="C139" s="4" t="inlineStr">
        <is>
          <t>Marathon Petroleum</t>
        </is>
      </c>
      <c r="D139" s="4" t="inlineStr">
        <is>
          <t>US</t>
        </is>
      </c>
      <c r="E139" s="5" t="n">
        <v>6</v>
      </c>
      <c r="F139" s="5" t="n">
        <v>9</v>
      </c>
      <c r="G139" s="5" t="n">
        <v>8</v>
      </c>
      <c r="H139" s="5" t="n">
        <v>1</v>
      </c>
      <c r="I139" s="5" t="n"/>
      <c r="J139" s="6">
        <f>COUNT(E139:I139)</f>
        <v/>
      </c>
      <c r="K139" s="7">
        <f>SUM(E139:I139)</f>
        <v/>
      </c>
      <c r="L139" s="8">
        <f>IF(J139=0,"",K139*5/J139)</f>
        <v/>
      </c>
      <c r="M139" s="8">
        <f>SUMPRODUCT($E$1:$I$1,E139:I139)</f>
        <v/>
      </c>
    </row>
    <row r="140">
      <c r="A140" s="4" t="n">
        <v>138</v>
      </c>
      <c r="B140" s="4" t="inlineStr">
        <is>
          <t>LEN</t>
        </is>
      </c>
      <c r="C140" s="4" t="inlineStr">
        <is>
          <t>Lennar</t>
        </is>
      </c>
      <c r="D140" s="4" t="inlineStr">
        <is>
          <t>US</t>
        </is>
      </c>
      <c r="E140" s="5" t="n">
        <v>9</v>
      </c>
      <c r="F140" s="5" t="n">
        <v>10</v>
      </c>
      <c r="G140" s="5" t="n">
        <v>2</v>
      </c>
      <c r="H140" s="5" t="n">
        <v>3</v>
      </c>
      <c r="I140" s="5" t="n"/>
      <c r="J140" s="6">
        <f>COUNT(E140:I140)</f>
        <v/>
      </c>
      <c r="K140" s="7">
        <f>SUM(E140:I140)</f>
        <v/>
      </c>
      <c r="L140" s="8">
        <f>IF(J140=0,"",K140*5/J140)</f>
        <v/>
      </c>
      <c r="M140" s="8">
        <f>SUMPRODUCT($E$1:$I$1,E140:I140)</f>
        <v/>
      </c>
    </row>
    <row r="141">
      <c r="A141" s="4" t="n">
        <v>139</v>
      </c>
      <c r="B141" s="4" t="inlineStr">
        <is>
          <t>PNW</t>
        </is>
      </c>
      <c r="C141" s="4" t="inlineStr">
        <is>
          <t>Pinnacle West</t>
        </is>
      </c>
      <c r="D141" s="4" t="inlineStr">
        <is>
          <t>US</t>
        </is>
      </c>
      <c r="E141" s="5" t="n">
        <v>8</v>
      </c>
      <c r="F141" s="5" t="n">
        <v>3</v>
      </c>
      <c r="G141" s="5" t="n">
        <v>3</v>
      </c>
      <c r="H141" s="5" t="n">
        <v>10</v>
      </c>
      <c r="I141" s="5" t="n"/>
      <c r="J141" s="6">
        <f>COUNT(E141:I141)</f>
        <v/>
      </c>
      <c r="K141" s="7">
        <f>SUM(E141:I141)</f>
        <v/>
      </c>
      <c r="L141" s="8">
        <f>IF(J141=0,"",K141*5/J141)</f>
        <v/>
      </c>
      <c r="M141" s="8">
        <f>SUMPRODUCT($E$1:$I$1,E141:I141)</f>
        <v/>
      </c>
    </row>
    <row r="142">
      <c r="A142" s="4" t="n">
        <v>140</v>
      </c>
      <c r="B142" s="4" t="inlineStr">
        <is>
          <t>PRU</t>
        </is>
      </c>
      <c r="C142" s="4" t="inlineStr">
        <is>
          <t>Prudential Financial</t>
        </is>
      </c>
      <c r="D142" s="4" t="inlineStr">
        <is>
          <t>US</t>
        </is>
      </c>
      <c r="E142" s="5" t="n">
        <v>10</v>
      </c>
      <c r="F142" s="5" t="n">
        <v>4</v>
      </c>
      <c r="G142" s="5" t="n">
        <v>4</v>
      </c>
      <c r="H142" s="5" t="n">
        <v>6</v>
      </c>
      <c r="I142" s="5" t="n"/>
      <c r="J142" s="6">
        <f>COUNT(E142:I142)</f>
        <v/>
      </c>
      <c r="K142" s="7">
        <f>SUM(E142:I142)</f>
        <v/>
      </c>
      <c r="L142" s="8">
        <f>IF(J142=0,"",K142*5/J142)</f>
        <v/>
      </c>
      <c r="M142" s="8">
        <f>SUMPRODUCT($E$1:$I$1,E142:I142)</f>
        <v/>
      </c>
    </row>
    <row r="143">
      <c r="A143" s="4" t="n">
        <v>141</v>
      </c>
      <c r="B143" s="4" t="inlineStr">
        <is>
          <t>T</t>
        </is>
      </c>
      <c r="C143" s="4" t="inlineStr">
        <is>
          <t>AT&amp;T</t>
        </is>
      </c>
      <c r="D143" s="4" t="inlineStr">
        <is>
          <t>US</t>
        </is>
      </c>
      <c r="E143" s="5" t="n">
        <v>10</v>
      </c>
      <c r="F143" s="5" t="n">
        <v>1</v>
      </c>
      <c r="G143" s="5" t="n">
        <v>7</v>
      </c>
      <c r="H143" s="5" t="n">
        <v>6</v>
      </c>
      <c r="I143" s="5" t="n"/>
      <c r="J143" s="6">
        <f>COUNT(E143:I143)</f>
        <v/>
      </c>
      <c r="K143" s="7">
        <f>SUM(E143:I143)</f>
        <v/>
      </c>
      <c r="L143" s="8">
        <f>IF(J143=0,"",K143*5/J143)</f>
        <v/>
      </c>
      <c r="M143" s="8">
        <f>SUMPRODUCT($E$1:$I$1,E143:I143)</f>
        <v/>
      </c>
    </row>
    <row r="144">
      <c r="A144" s="4" t="n">
        <v>142</v>
      </c>
      <c r="B144" s="4" t="inlineStr">
        <is>
          <t>TXT</t>
        </is>
      </c>
      <c r="C144" s="4" t="inlineStr">
        <is>
          <t>Textron</t>
        </is>
      </c>
      <c r="D144" s="4" t="inlineStr">
        <is>
          <t>US</t>
        </is>
      </c>
      <c r="E144" s="5" t="n">
        <v>8</v>
      </c>
      <c r="F144" s="5" t="n">
        <v>6</v>
      </c>
      <c r="G144" s="5" t="n">
        <v>4</v>
      </c>
      <c r="H144" s="5" t="n">
        <v>6</v>
      </c>
      <c r="I144" s="5" t="n"/>
      <c r="J144" s="6">
        <f>COUNT(E144:I144)</f>
        <v/>
      </c>
      <c r="K144" s="7">
        <f>SUM(E144:I144)</f>
        <v/>
      </c>
      <c r="L144" s="8">
        <f>IF(J144=0,"",K144*5/J144)</f>
        <v/>
      </c>
      <c r="M144" s="8">
        <f>SUMPRODUCT($E$1:$I$1,E144:I144)</f>
        <v/>
      </c>
    </row>
    <row r="145">
      <c r="A145" s="4" t="n">
        <v>143</v>
      </c>
      <c r="B145" s="4" t="inlineStr">
        <is>
          <t>RCL</t>
        </is>
      </c>
      <c r="C145" s="4" t="inlineStr">
        <is>
          <t>Royal Caribbean Group</t>
        </is>
      </c>
      <c r="D145" s="4" t="inlineStr">
        <is>
          <t>US</t>
        </is>
      </c>
      <c r="E145" s="5" t="n">
        <v>5</v>
      </c>
      <c r="F145" s="5" t="n">
        <v>7</v>
      </c>
      <c r="G145" s="5" t="n">
        <v>9</v>
      </c>
      <c r="H145" s="5" t="n">
        <v>3</v>
      </c>
      <c r="I145" s="5" t="n"/>
      <c r="J145" s="6">
        <f>COUNT(E145:I145)</f>
        <v/>
      </c>
      <c r="K145" s="7">
        <f>SUM(E145:I145)</f>
        <v/>
      </c>
      <c r="L145" s="8">
        <f>IF(J145=0,"",K145*5/J145)</f>
        <v/>
      </c>
      <c r="M145" s="8">
        <f>SUMPRODUCT($E$1:$I$1,E145:I145)</f>
        <v/>
      </c>
    </row>
    <row r="146">
      <c r="A146" s="4" t="n">
        <v>144</v>
      </c>
      <c r="B146" s="4" t="inlineStr">
        <is>
          <t>SYK</t>
        </is>
      </c>
      <c r="C146" s="4" t="inlineStr">
        <is>
          <t>Stryker Corporation</t>
        </is>
      </c>
      <c r="D146" s="4" t="inlineStr">
        <is>
          <t>US</t>
        </is>
      </c>
      <c r="E146" s="5" t="n">
        <v>3</v>
      </c>
      <c r="F146" s="5" t="n">
        <v>8</v>
      </c>
      <c r="G146" s="5" t="n">
        <v>5</v>
      </c>
      <c r="H146" s="5" t="n">
        <v>8</v>
      </c>
      <c r="I146" s="5" t="n"/>
      <c r="J146" s="6">
        <f>COUNT(E146:I146)</f>
        <v/>
      </c>
      <c r="K146" s="7">
        <f>SUM(E146:I146)</f>
        <v/>
      </c>
      <c r="L146" s="8">
        <f>IF(J146=0,"",K146*5/J146)</f>
        <v/>
      </c>
      <c r="M146" s="8">
        <f>SUMPRODUCT($E$1:$I$1,E146:I146)</f>
        <v/>
      </c>
    </row>
    <row r="147">
      <c r="A147" s="4" t="n">
        <v>145</v>
      </c>
      <c r="B147" s="4" t="inlineStr">
        <is>
          <t>ROK</t>
        </is>
      </c>
      <c r="C147" s="4" t="inlineStr">
        <is>
          <t>Rockwell Automation</t>
        </is>
      </c>
      <c r="D147" s="4" t="inlineStr">
        <is>
          <t>US</t>
        </is>
      </c>
      <c r="E147" s="5" t="n">
        <v>2</v>
      </c>
      <c r="F147" s="5" t="n">
        <v>8</v>
      </c>
      <c r="G147" s="5" t="n">
        <v>8</v>
      </c>
      <c r="H147" s="5" t="n">
        <v>5</v>
      </c>
      <c r="I147" s="5" t="n"/>
      <c r="J147" s="6">
        <f>COUNT(E147:I147)</f>
        <v/>
      </c>
      <c r="K147" s="7">
        <f>SUM(E147:I147)</f>
        <v/>
      </c>
      <c r="L147" s="8">
        <f>IF(J147=0,"",K147*5/J147)</f>
        <v/>
      </c>
      <c r="M147" s="8">
        <f>SUMPRODUCT($E$1:$I$1,E147:I147)</f>
        <v/>
      </c>
    </row>
    <row r="148">
      <c r="A148" s="4" t="n">
        <v>146</v>
      </c>
      <c r="B148" s="4" t="inlineStr">
        <is>
          <t>LLY</t>
        </is>
      </c>
      <c r="C148" s="4" t="inlineStr">
        <is>
          <t>Lilly (Eli)</t>
        </is>
      </c>
      <c r="D148" s="4" t="inlineStr">
        <is>
          <t>US</t>
        </is>
      </c>
      <c r="E148" s="5" t="n">
        <v>1</v>
      </c>
      <c r="F148" s="5" t="n">
        <v>4</v>
      </c>
      <c r="G148" s="5" t="n">
        <v>10</v>
      </c>
      <c r="H148" s="5" t="n">
        <v>8</v>
      </c>
      <c r="I148" s="5" t="n"/>
      <c r="J148" s="6">
        <f>COUNT(E148:I148)</f>
        <v/>
      </c>
      <c r="K148" s="7">
        <f>SUM(E148:I148)</f>
        <v/>
      </c>
      <c r="L148" s="8">
        <f>IF(J148=0,"",K148*5/J148)</f>
        <v/>
      </c>
      <c r="M148" s="8">
        <f>SUMPRODUCT($E$1:$I$1,E148:I148)</f>
        <v/>
      </c>
    </row>
    <row r="149">
      <c r="A149" s="4" t="n">
        <v>147</v>
      </c>
      <c r="B149" s="4" t="inlineStr">
        <is>
          <t>BA</t>
        </is>
      </c>
      <c r="C149" s="4" t="inlineStr">
        <is>
          <t>Boeing</t>
        </is>
      </c>
      <c r="D149" s="4" t="inlineStr">
        <is>
          <t>US</t>
        </is>
      </c>
      <c r="E149" s="5" t="n">
        <v>1</v>
      </c>
      <c r="F149" s="5" t="n">
        <v>10</v>
      </c>
      <c r="G149" s="5" t="n">
        <v>8</v>
      </c>
      <c r="H149" s="5" t="n">
        <v>4</v>
      </c>
      <c r="I149" s="5" t="n"/>
      <c r="J149" s="6">
        <f>COUNT(E149:I149)</f>
        <v/>
      </c>
      <c r="K149" s="7">
        <f>SUM(E149:I149)</f>
        <v/>
      </c>
      <c r="L149" s="8">
        <f>IF(J149=0,"",K149*5/J149)</f>
        <v/>
      </c>
      <c r="M149" s="8">
        <f>SUMPRODUCT($E$1:$I$1,E149:I149)</f>
        <v/>
      </c>
    </row>
    <row r="150">
      <c r="A150" s="4" t="n">
        <v>148</v>
      </c>
      <c r="B150" s="4" t="inlineStr">
        <is>
          <t>BDX</t>
        </is>
      </c>
      <c r="C150" s="4" t="inlineStr">
        <is>
          <t>Becton Dickinson</t>
        </is>
      </c>
      <c r="D150" s="4" t="inlineStr">
        <is>
          <t>US</t>
        </is>
      </c>
      <c r="E150" s="5" t="n">
        <v>7</v>
      </c>
      <c r="F150" s="5" t="n">
        <v>7</v>
      </c>
      <c r="G150" s="5" t="n">
        <v>2</v>
      </c>
      <c r="H150" s="5" t="n">
        <v>7</v>
      </c>
      <c r="I150" s="5" t="n"/>
      <c r="J150" s="6">
        <f>COUNT(E150:I150)</f>
        <v/>
      </c>
      <c r="K150" s="7">
        <f>SUM(E150:I150)</f>
        <v/>
      </c>
      <c r="L150" s="8">
        <f>IF(J150=0,"",K150*5/J150)</f>
        <v/>
      </c>
      <c r="M150" s="8">
        <f>SUMPRODUCT($E$1:$I$1,E150:I150)</f>
        <v/>
      </c>
    </row>
    <row r="151">
      <c r="A151" s="4" t="n">
        <v>149</v>
      </c>
      <c r="B151" s="4" t="inlineStr">
        <is>
          <t>TXN</t>
        </is>
      </c>
      <c r="C151" s="4" t="inlineStr">
        <is>
          <t>Texas Instruments</t>
        </is>
      </c>
      <c r="D151" s="4" t="inlineStr">
        <is>
          <t>US</t>
        </is>
      </c>
      <c r="E151" s="5" t="n">
        <v>2</v>
      </c>
      <c r="F151" s="5" t="n">
        <v>9</v>
      </c>
      <c r="G151" s="5" t="n">
        <v>8</v>
      </c>
      <c r="H151" s="5" t="n">
        <v>4</v>
      </c>
      <c r="I151" s="5" t="n"/>
      <c r="J151" s="6">
        <f>COUNT(E151:I151)</f>
        <v/>
      </c>
      <c r="K151" s="7">
        <f>SUM(E151:I151)</f>
        <v/>
      </c>
      <c r="L151" s="8">
        <f>IF(J151=0,"",K151*5/J151)</f>
        <v/>
      </c>
      <c r="M151" s="8">
        <f>SUMPRODUCT($E$1:$I$1,E151:I151)</f>
        <v/>
      </c>
    </row>
    <row r="152">
      <c r="A152" s="4" t="n">
        <v>150</v>
      </c>
      <c r="B152" s="4" t="inlineStr">
        <is>
          <t>CF</t>
        </is>
      </c>
      <c r="C152" s="4" t="inlineStr">
        <is>
          <t>CF Industries</t>
        </is>
      </c>
      <c r="D152" s="4" t="inlineStr">
        <is>
          <t>US</t>
        </is>
      </c>
      <c r="E152" s="5" t="n">
        <v>8</v>
      </c>
      <c r="F152" s="5" t="n">
        <v>6</v>
      </c>
      <c r="G152" s="5" t="n">
        <v>8</v>
      </c>
      <c r="H152" s="5" t="n">
        <v>1</v>
      </c>
      <c r="I152" s="5" t="n"/>
      <c r="J152" s="6">
        <f>COUNT(E152:I152)</f>
        <v/>
      </c>
      <c r="K152" s="7">
        <f>SUM(E152:I152)</f>
        <v/>
      </c>
      <c r="L152" s="8">
        <f>IF(J152=0,"",K152*5/J152)</f>
        <v/>
      </c>
      <c r="M152" s="8">
        <f>SUMPRODUCT($E$1:$I$1,E152:I152)</f>
        <v/>
      </c>
    </row>
    <row r="153">
      <c r="A153" s="4" t="n">
        <v>151</v>
      </c>
      <c r="B153" s="4" t="inlineStr">
        <is>
          <t>QCOM</t>
        </is>
      </c>
      <c r="C153" s="4" t="inlineStr">
        <is>
          <t>Qualcomm</t>
        </is>
      </c>
      <c r="D153" s="4" t="inlineStr">
        <is>
          <t>US</t>
        </is>
      </c>
      <c r="E153" s="5" t="n">
        <v>5</v>
      </c>
      <c r="F153" s="5" t="n">
        <v>7</v>
      </c>
      <c r="G153" s="5" t="n">
        <v>9</v>
      </c>
      <c r="H153" s="5" t="n">
        <v>2</v>
      </c>
      <c r="I153" s="5" t="n"/>
      <c r="J153" s="6">
        <f>COUNT(E153:I153)</f>
        <v/>
      </c>
      <c r="K153" s="7">
        <f>SUM(E153:I153)</f>
        <v/>
      </c>
      <c r="L153" s="8">
        <f>IF(J153=0,"",K153*5/J153)</f>
        <v/>
      </c>
      <c r="M153" s="8">
        <f>SUMPRODUCT($E$1:$I$1,E153:I153)</f>
        <v/>
      </c>
    </row>
    <row r="154">
      <c r="A154" s="4" t="n">
        <v>152</v>
      </c>
      <c r="B154" s="4" t="inlineStr">
        <is>
          <t>RL</t>
        </is>
      </c>
      <c r="C154" s="4" t="inlineStr">
        <is>
          <t>Ralph Lauren Corporation</t>
        </is>
      </c>
      <c r="D154" s="4" t="inlineStr">
        <is>
          <t>US</t>
        </is>
      </c>
      <c r="E154" s="5" t="n">
        <v>4</v>
      </c>
      <c r="F154" s="5" t="n">
        <v>9</v>
      </c>
      <c r="G154" s="5" t="n">
        <v>8</v>
      </c>
      <c r="H154" s="5" t="n">
        <v>2</v>
      </c>
      <c r="I154" s="5" t="n"/>
      <c r="J154" s="6">
        <f>COUNT(E154:I154)</f>
        <v/>
      </c>
      <c r="K154" s="7">
        <f>SUM(E154:I154)</f>
        <v/>
      </c>
      <c r="L154" s="8">
        <f>IF(J154=0,"",K154*5/J154)</f>
        <v/>
      </c>
      <c r="M154" s="8">
        <f>SUMPRODUCT($E$1:$I$1,E154:I154)</f>
        <v/>
      </c>
    </row>
    <row r="155">
      <c r="A155" s="4" t="n">
        <v>153</v>
      </c>
      <c r="B155" s="4" t="inlineStr">
        <is>
          <t>NTRS</t>
        </is>
      </c>
      <c r="C155" s="4" t="inlineStr">
        <is>
          <t>Northern Trust</t>
        </is>
      </c>
      <c r="D155" s="4" t="inlineStr">
        <is>
          <t>US</t>
        </is>
      </c>
      <c r="E155" s="5" t="n">
        <v>7</v>
      </c>
      <c r="F155" s="5" t="n">
        <v>6</v>
      </c>
      <c r="G155" s="5" t="n">
        <v>5</v>
      </c>
      <c r="H155" s="5" t="n">
        <v>5</v>
      </c>
      <c r="I155" s="5" t="n"/>
      <c r="J155" s="6">
        <f>COUNT(E155:I155)</f>
        <v/>
      </c>
      <c r="K155" s="7">
        <f>SUM(E155:I155)</f>
        <v/>
      </c>
      <c r="L155" s="8">
        <f>IF(J155=0,"",K155*5/J155)</f>
        <v/>
      </c>
      <c r="M155" s="8">
        <f>SUMPRODUCT($E$1:$I$1,E155:I155)</f>
        <v/>
      </c>
    </row>
    <row r="156">
      <c r="A156" s="4" t="n">
        <v>154</v>
      </c>
      <c r="B156" s="4" t="inlineStr">
        <is>
          <t>MNST</t>
        </is>
      </c>
      <c r="C156" s="4" t="inlineStr">
        <is>
          <t>Monster Beverage</t>
        </is>
      </c>
      <c r="D156" s="4" t="inlineStr">
        <is>
          <t>US</t>
        </is>
      </c>
      <c r="E156" s="5" t="n">
        <v>2</v>
      </c>
      <c r="F156" s="5" t="n">
        <v>10</v>
      </c>
      <c r="G156" s="5" t="n">
        <v>7</v>
      </c>
      <c r="H156" s="5" t="n">
        <v>4</v>
      </c>
      <c r="I156" s="5" t="n"/>
      <c r="J156" s="6">
        <f>COUNT(E156:I156)</f>
        <v/>
      </c>
      <c r="K156" s="7">
        <f>SUM(E156:I156)</f>
        <v/>
      </c>
      <c r="L156" s="8">
        <f>IF(J156=0,"",K156*5/J156)</f>
        <v/>
      </c>
      <c r="M156" s="8">
        <f>SUMPRODUCT($E$1:$I$1,E156:I156)</f>
        <v/>
      </c>
    </row>
    <row r="157">
      <c r="A157" s="4" t="n">
        <v>155</v>
      </c>
      <c r="B157" s="4" t="inlineStr">
        <is>
          <t>GPN</t>
        </is>
      </c>
      <c r="C157" s="4" t="inlineStr">
        <is>
          <t>Global Payments</t>
        </is>
      </c>
      <c r="D157" s="4" t="inlineStr">
        <is>
          <t>US</t>
        </is>
      </c>
      <c r="E157" s="5" t="n">
        <v>8</v>
      </c>
      <c r="F157" s="5" t="n">
        <v>8</v>
      </c>
      <c r="G157" s="5" t="n">
        <v>1</v>
      </c>
      <c r="H157" s="5" t="n">
        <v>6</v>
      </c>
      <c r="I157" s="5" t="n"/>
      <c r="J157" s="6">
        <f>COUNT(E157:I157)</f>
        <v/>
      </c>
      <c r="K157" s="7">
        <f>SUM(E157:I157)</f>
        <v/>
      </c>
      <c r="L157" s="8">
        <f>IF(J157=0,"",K157*5/J157)</f>
        <v/>
      </c>
      <c r="M157" s="8">
        <f>SUMPRODUCT($E$1:$I$1,E157:I157)</f>
        <v/>
      </c>
    </row>
    <row r="158">
      <c r="A158" s="4" t="n">
        <v>156</v>
      </c>
      <c r="B158" s="4" t="inlineStr">
        <is>
          <t>DG</t>
        </is>
      </c>
      <c r="C158" s="4" t="inlineStr">
        <is>
          <t>Dollar General</t>
        </is>
      </c>
      <c r="D158" s="4" t="inlineStr">
        <is>
          <t>US</t>
        </is>
      </c>
      <c r="E158" s="5" t="n">
        <v>7</v>
      </c>
      <c r="F158" s="5" t="n">
        <v>7</v>
      </c>
      <c r="G158" s="5" t="n">
        <v>6</v>
      </c>
      <c r="H158" s="5" t="n">
        <v>3</v>
      </c>
      <c r="I158" s="5" t="n"/>
      <c r="J158" s="6">
        <f>COUNT(E158:I158)</f>
        <v/>
      </c>
      <c r="K158" s="7">
        <f>SUM(E158:I158)</f>
        <v/>
      </c>
      <c r="L158" s="8">
        <f>IF(J158=0,"",K158*5/J158)</f>
        <v/>
      </c>
      <c r="M158" s="8">
        <f>SUMPRODUCT($E$1:$I$1,E158:I158)</f>
        <v/>
      </c>
    </row>
    <row r="159">
      <c r="A159" s="4" t="n">
        <v>157</v>
      </c>
      <c r="B159" s="4" t="inlineStr">
        <is>
          <t>CMI</t>
        </is>
      </c>
      <c r="C159" s="4" t="inlineStr">
        <is>
          <t>Cummins</t>
        </is>
      </c>
      <c r="D159" s="4" t="inlineStr">
        <is>
          <t>US</t>
        </is>
      </c>
      <c r="E159" s="5" t="n">
        <v>3</v>
      </c>
      <c r="F159" s="5" t="n">
        <v>7</v>
      </c>
      <c r="G159" s="5" t="n">
        <v>7</v>
      </c>
      <c r="H159" s="5" t="n">
        <v>6</v>
      </c>
      <c r="I159" s="5" t="n"/>
      <c r="J159" s="6">
        <f>COUNT(E159:I159)</f>
        <v/>
      </c>
      <c r="K159" s="7">
        <f>SUM(E159:I159)</f>
        <v/>
      </c>
      <c r="L159" s="8">
        <f>IF(J159=0,"",K159*5/J159)</f>
        <v/>
      </c>
      <c r="M159" s="8">
        <f>SUMPRODUCT($E$1:$I$1,E159:I159)</f>
        <v/>
      </c>
    </row>
    <row r="160">
      <c r="A160" s="4" t="n">
        <v>158</v>
      </c>
      <c r="B160" s="4" t="inlineStr">
        <is>
          <t>ETR</t>
        </is>
      </c>
      <c r="C160" s="4" t="inlineStr">
        <is>
          <t>Entergy</t>
        </is>
      </c>
      <c r="D160" s="4" t="inlineStr">
        <is>
          <t>US</t>
        </is>
      </c>
      <c r="E160" s="5" t="n">
        <v>5</v>
      </c>
      <c r="F160" s="5" t="n">
        <v>5</v>
      </c>
      <c r="G160" s="5" t="n">
        <v>4</v>
      </c>
      <c r="H160" s="5" t="n">
        <v>9</v>
      </c>
      <c r="I160" s="5" t="n"/>
      <c r="J160" s="6">
        <f>COUNT(E160:I160)</f>
        <v/>
      </c>
      <c r="K160" s="7">
        <f>SUM(E160:I160)</f>
        <v/>
      </c>
      <c r="L160" s="8">
        <f>IF(J160=0,"",K160*5/J160)</f>
        <v/>
      </c>
      <c r="M160" s="8">
        <f>SUMPRODUCT($E$1:$I$1,E160:I160)</f>
        <v/>
      </c>
    </row>
    <row r="161">
      <c r="A161" s="4" t="n">
        <v>159</v>
      </c>
      <c r="B161" s="4" t="inlineStr">
        <is>
          <t>FTV</t>
        </is>
      </c>
      <c r="C161" s="4" t="inlineStr">
        <is>
          <t>Fortive</t>
        </is>
      </c>
      <c r="D161" s="4" t="inlineStr">
        <is>
          <t>US</t>
        </is>
      </c>
      <c r="E161" s="5" t="n">
        <v>4</v>
      </c>
      <c r="F161" s="5" t="n">
        <v>8</v>
      </c>
      <c r="G161" s="5" t="n">
        <v>3</v>
      </c>
      <c r="H161" s="5" t="n">
        <v>8</v>
      </c>
      <c r="I161" s="5" t="n"/>
      <c r="J161" s="6">
        <f>COUNT(E161:I161)</f>
        <v/>
      </c>
      <c r="K161" s="7">
        <f>SUM(E161:I161)</f>
        <v/>
      </c>
      <c r="L161" s="8">
        <f>IF(J161=0,"",K161*5/J161)</f>
        <v/>
      </c>
      <c r="M161" s="8">
        <f>SUMPRODUCT($E$1:$I$1,E161:I161)</f>
        <v/>
      </c>
    </row>
    <row r="162">
      <c r="A162" s="4" t="n">
        <v>160</v>
      </c>
      <c r="B162" s="4" t="inlineStr">
        <is>
          <t>FMC</t>
        </is>
      </c>
      <c r="C162" s="4" t="inlineStr">
        <is>
          <t>FMC Corporation</t>
        </is>
      </c>
      <c r="D162" s="4" t="inlineStr">
        <is>
          <t>US</t>
        </is>
      </c>
      <c r="E162" s="5" t="n">
        <v>10</v>
      </c>
      <c r="F162" s="5" t="n">
        <v>10</v>
      </c>
      <c r="G162" s="5" t="n">
        <v>1</v>
      </c>
      <c r="H162" s="5" t="n">
        <v>2</v>
      </c>
      <c r="I162" s="5" t="n"/>
      <c r="J162" s="6">
        <f>COUNT(E162:I162)</f>
        <v/>
      </c>
      <c r="K162" s="7">
        <f>SUM(E162:I162)</f>
        <v/>
      </c>
      <c r="L162" s="8">
        <f>IF(J162=0,"",K162*5/J162)</f>
        <v/>
      </c>
      <c r="M162" s="8">
        <f>SUMPRODUCT($E$1:$I$1,E162:I162)</f>
        <v/>
      </c>
    </row>
    <row r="163">
      <c r="A163" s="4" t="n">
        <v>161</v>
      </c>
      <c r="B163" s="4" t="inlineStr">
        <is>
          <t>GRMN</t>
        </is>
      </c>
      <c r="C163" s="4" t="inlineStr">
        <is>
          <t>Garmin</t>
        </is>
      </c>
      <c r="D163" s="4" t="inlineStr">
        <is>
          <t>US</t>
        </is>
      </c>
      <c r="E163" s="5" t="n">
        <v>4</v>
      </c>
      <c r="F163" s="5" t="n">
        <v>6</v>
      </c>
      <c r="G163" s="5" t="n">
        <v>7</v>
      </c>
      <c r="H163" s="5" t="n">
        <v>6</v>
      </c>
      <c r="I163" s="5" t="n"/>
      <c r="J163" s="6">
        <f>COUNT(E163:I163)</f>
        <v/>
      </c>
      <c r="K163" s="7">
        <f>SUM(E163:I163)</f>
        <v/>
      </c>
      <c r="L163" s="8">
        <f>IF(J163=0,"",K163*5/J163)</f>
        <v/>
      </c>
      <c r="M163" s="8">
        <f>SUMPRODUCT($E$1:$I$1,E163:I163)</f>
        <v/>
      </c>
    </row>
    <row r="164">
      <c r="A164" s="4" t="n">
        <v>162</v>
      </c>
      <c r="B164" s="4" t="inlineStr">
        <is>
          <t>HPQ</t>
        </is>
      </c>
      <c r="C164" s="4" t="inlineStr">
        <is>
          <t>HP Inc.</t>
        </is>
      </c>
      <c r="D164" s="4" t="inlineStr">
        <is>
          <t>US</t>
        </is>
      </c>
      <c r="E164" s="5" t="n">
        <v>10</v>
      </c>
      <c r="F164" s="5" t="n">
        <v>9</v>
      </c>
      <c r="G164" s="5" t="n"/>
      <c r="H164" s="5" t="n">
        <v>4</v>
      </c>
      <c r="I164" s="5" t="n"/>
      <c r="J164" s="6">
        <f>COUNT(E164:I164)</f>
        <v/>
      </c>
      <c r="K164" s="7">
        <f>SUM(E164:I164)</f>
        <v/>
      </c>
      <c r="L164" s="8">
        <f>IF(J164=0,"",K164*5/J164)</f>
        <v/>
      </c>
      <c r="M164" s="8">
        <f>SUMPRODUCT($E$1:$I$1,E164:I164)</f>
        <v/>
      </c>
    </row>
    <row r="165">
      <c r="A165" s="4" t="n">
        <v>163</v>
      </c>
      <c r="B165" s="4" t="inlineStr">
        <is>
          <t>LH</t>
        </is>
      </c>
      <c r="C165" s="4" t="inlineStr">
        <is>
          <t>LabCorp</t>
        </is>
      </c>
      <c r="D165" s="4" t="inlineStr">
        <is>
          <t>US</t>
        </is>
      </c>
      <c r="E165" s="5" t="n">
        <v>6</v>
      </c>
      <c r="F165" s="5" t="n">
        <v>7</v>
      </c>
      <c r="G165" s="5" t="n">
        <v>4</v>
      </c>
      <c r="H165" s="5" t="n">
        <v>6</v>
      </c>
      <c r="I165" s="5" t="n"/>
      <c r="J165" s="6">
        <f>COUNT(E165:I165)</f>
        <v/>
      </c>
      <c r="K165" s="7">
        <f>SUM(E165:I165)</f>
        <v/>
      </c>
      <c r="L165" s="8">
        <f>IF(J165=0,"",K165*5/J165)</f>
        <v/>
      </c>
      <c r="M165" s="8">
        <f>SUMPRODUCT($E$1:$I$1,E165:I165)</f>
        <v/>
      </c>
    </row>
    <row r="166">
      <c r="A166" s="4" t="n">
        <v>164</v>
      </c>
      <c r="B166" s="4" t="inlineStr">
        <is>
          <t>EOG</t>
        </is>
      </c>
      <c r="C166" s="4" t="inlineStr">
        <is>
          <t>EOG Resources</t>
        </is>
      </c>
      <c r="D166" s="4" t="inlineStr">
        <is>
          <t>US</t>
        </is>
      </c>
      <c r="E166" s="5" t="n">
        <v>8</v>
      </c>
      <c r="F166" s="5" t="n">
        <v>5</v>
      </c>
      <c r="G166" s="5" t="n">
        <v>6</v>
      </c>
      <c r="H166" s="5" t="n">
        <v>4</v>
      </c>
      <c r="I166" s="5" t="n"/>
      <c r="J166" s="6">
        <f>COUNT(E166:I166)</f>
        <v/>
      </c>
      <c r="K166" s="7">
        <f>SUM(E166:I166)</f>
        <v/>
      </c>
      <c r="L166" s="8">
        <f>IF(J166=0,"",K166*5/J166)</f>
        <v/>
      </c>
      <c r="M166" s="8">
        <f>SUMPRODUCT($E$1:$I$1,E166:I166)</f>
        <v/>
      </c>
    </row>
    <row r="167">
      <c r="A167" s="4" t="n">
        <v>165</v>
      </c>
      <c r="B167" s="4" t="inlineStr">
        <is>
          <t>DTE</t>
        </is>
      </c>
      <c r="C167" s="4" t="inlineStr">
        <is>
          <t>DTE Energy</t>
        </is>
      </c>
      <c r="D167" s="4" t="inlineStr">
        <is>
          <t>US</t>
        </is>
      </c>
      <c r="E167" s="5" t="n">
        <v>6</v>
      </c>
      <c r="F167" s="5" t="n">
        <v>3</v>
      </c>
      <c r="G167" s="5" t="n">
        <v>4</v>
      </c>
      <c r="H167" s="5" t="n">
        <v>10</v>
      </c>
      <c r="I167" s="5" t="n"/>
      <c r="J167" s="6">
        <f>COUNT(E167:I167)</f>
        <v/>
      </c>
      <c r="K167" s="7">
        <f>SUM(E167:I167)</f>
        <v/>
      </c>
      <c r="L167" s="8">
        <f>IF(J167=0,"",K167*5/J167)</f>
        <v/>
      </c>
      <c r="M167" s="8">
        <f>SUMPRODUCT($E$1:$I$1,E167:I167)</f>
        <v/>
      </c>
    </row>
    <row r="168">
      <c r="A168" s="4" t="n">
        <v>166</v>
      </c>
      <c r="B168" s="4" t="inlineStr">
        <is>
          <t>AMZN</t>
        </is>
      </c>
      <c r="C168" s="4" t="inlineStr">
        <is>
          <t>Amazon</t>
        </is>
      </c>
      <c r="D168" s="4" t="inlineStr">
        <is>
          <t>US</t>
        </is>
      </c>
      <c r="E168" s="5" t="n">
        <v>4</v>
      </c>
      <c r="F168" s="5" t="n">
        <v>10</v>
      </c>
      <c r="G168" s="5" t="n">
        <v>6</v>
      </c>
      <c r="H168" s="5" t="n">
        <v>3</v>
      </c>
      <c r="I168" s="5" t="n"/>
      <c r="J168" s="6">
        <f>COUNT(E168:I168)</f>
        <v/>
      </c>
      <c r="K168" s="7">
        <f>SUM(E168:I168)</f>
        <v/>
      </c>
      <c r="L168" s="8">
        <f>IF(J168=0,"",K168*5/J168)</f>
        <v/>
      </c>
      <c r="M168" s="8">
        <f>SUMPRODUCT($E$1:$I$1,E168:I168)</f>
        <v/>
      </c>
    </row>
    <row r="169">
      <c r="A169" s="4" t="n">
        <v>167</v>
      </c>
      <c r="B169" s="4" t="inlineStr">
        <is>
          <t>HSY</t>
        </is>
      </c>
      <c r="C169" s="4" t="inlineStr">
        <is>
          <t>Hershey Company (The)</t>
        </is>
      </c>
      <c r="D169" s="4" t="inlineStr">
        <is>
          <t>US</t>
        </is>
      </c>
      <c r="E169" s="5" t="n">
        <v>3</v>
      </c>
      <c r="F169" s="5" t="n">
        <v>3</v>
      </c>
      <c r="G169" s="5" t="n">
        <v>7</v>
      </c>
      <c r="H169" s="5" t="n">
        <v>9</v>
      </c>
      <c r="I169" s="5" t="n"/>
      <c r="J169" s="6">
        <f>COUNT(E169:I169)</f>
        <v/>
      </c>
      <c r="K169" s="7">
        <f>SUM(E169:I169)</f>
        <v/>
      </c>
      <c r="L169" s="8">
        <f>IF(J169=0,"",K169*5/J169)</f>
        <v/>
      </c>
      <c r="M169" s="8">
        <f>SUMPRODUCT($E$1:$I$1,E169:I169)</f>
        <v/>
      </c>
    </row>
    <row r="170">
      <c r="A170" s="4" t="n">
        <v>168</v>
      </c>
      <c r="B170" s="4" t="inlineStr">
        <is>
          <t>EIX</t>
        </is>
      </c>
      <c r="C170" s="4" t="inlineStr">
        <is>
          <t>Edison International</t>
        </is>
      </c>
      <c r="D170" s="4" t="inlineStr">
        <is>
          <t>US</t>
        </is>
      </c>
      <c r="E170" s="5" t="n">
        <v>10</v>
      </c>
      <c r="F170" s="5" t="n">
        <v>1</v>
      </c>
      <c r="G170" s="5" t="n">
        <v>7</v>
      </c>
      <c r="H170" s="5" t="n">
        <v>4</v>
      </c>
      <c r="I170" s="5" t="n"/>
      <c r="J170" s="6">
        <f>COUNT(E170:I170)</f>
        <v/>
      </c>
      <c r="K170" s="7">
        <f>SUM(E170:I170)</f>
        <v/>
      </c>
      <c r="L170" s="8">
        <f>IF(J170=0,"",K170*5/J170)</f>
        <v/>
      </c>
      <c r="M170" s="8">
        <f>SUMPRODUCT($E$1:$I$1,E170:I170)</f>
        <v/>
      </c>
    </row>
    <row r="171">
      <c r="A171" s="4" t="n">
        <v>169</v>
      </c>
      <c r="B171" s="4" t="inlineStr">
        <is>
          <t>UDR</t>
        </is>
      </c>
      <c r="C171" s="4" t="inlineStr">
        <is>
          <t>UDR, Inc.</t>
        </is>
      </c>
      <c r="D171" s="4" t="inlineStr">
        <is>
          <t>US</t>
        </is>
      </c>
      <c r="E171" s="5" t="n">
        <v>5</v>
      </c>
      <c r="F171" s="5" t="n">
        <v>3</v>
      </c>
      <c r="G171" s="5" t="n">
        <v>5</v>
      </c>
      <c r="H171" s="5" t="n">
        <v>9</v>
      </c>
      <c r="I171" s="5" t="n"/>
      <c r="J171" s="6">
        <f>COUNT(E171:I171)</f>
        <v/>
      </c>
      <c r="K171" s="7">
        <f>SUM(E171:I171)</f>
        <v/>
      </c>
      <c r="L171" s="8">
        <f>IF(J171=0,"",K171*5/J171)</f>
        <v/>
      </c>
      <c r="M171" s="8">
        <f>SUMPRODUCT($E$1:$I$1,E171:I171)</f>
        <v/>
      </c>
    </row>
    <row r="172">
      <c r="A172" s="4" t="n">
        <v>170</v>
      </c>
      <c r="B172" s="4" t="inlineStr">
        <is>
          <t>DIS</t>
        </is>
      </c>
      <c r="C172" s="4" t="inlineStr">
        <is>
          <t>Walt Disney Company (The)</t>
        </is>
      </c>
      <c r="D172" s="4" t="inlineStr">
        <is>
          <t>US</t>
        </is>
      </c>
      <c r="E172" s="5" t="n">
        <v>9</v>
      </c>
      <c r="F172" s="5" t="n">
        <v>2</v>
      </c>
      <c r="G172" s="5" t="n">
        <v>3</v>
      </c>
      <c r="H172" s="5" t="n">
        <v>8</v>
      </c>
      <c r="I172" s="5" t="n"/>
      <c r="J172" s="6">
        <f>COUNT(E172:I172)</f>
        <v/>
      </c>
      <c r="K172" s="7">
        <f>SUM(E172:I172)</f>
        <v/>
      </c>
      <c r="L172" s="8">
        <f>IF(J172=0,"",K172*5/J172)</f>
        <v/>
      </c>
      <c r="M172" s="8">
        <f>SUMPRODUCT($E$1:$I$1,E172:I172)</f>
        <v/>
      </c>
    </row>
    <row r="173">
      <c r="A173" s="4" t="n">
        <v>171</v>
      </c>
      <c r="B173" s="4" t="inlineStr">
        <is>
          <t>NI</t>
        </is>
      </c>
      <c r="C173" s="4" t="inlineStr">
        <is>
          <t>NiSource</t>
        </is>
      </c>
      <c r="D173" s="4" t="inlineStr">
        <is>
          <t>US</t>
        </is>
      </c>
      <c r="E173" s="5" t="n">
        <v>6</v>
      </c>
      <c r="F173" s="5" t="n">
        <v>4</v>
      </c>
      <c r="G173" s="5" t="n">
        <v>3</v>
      </c>
      <c r="H173" s="5" t="n">
        <v>9</v>
      </c>
      <c r="I173" s="5" t="n"/>
      <c r="J173" s="6">
        <f>COUNT(E173:I173)</f>
        <v/>
      </c>
      <c r="K173" s="7">
        <f>SUM(E173:I173)</f>
        <v/>
      </c>
      <c r="L173" s="8">
        <f>IF(J173=0,"",K173*5/J173)</f>
        <v/>
      </c>
      <c r="M173" s="8">
        <f>SUMPRODUCT($E$1:$I$1,E173:I173)</f>
        <v/>
      </c>
    </row>
    <row r="174">
      <c r="A174" s="4" t="n">
        <v>172</v>
      </c>
      <c r="B174" s="4" t="inlineStr">
        <is>
          <t>MDT</t>
        </is>
      </c>
      <c r="C174" s="4" t="inlineStr">
        <is>
          <t>Medtronic</t>
        </is>
      </c>
      <c r="D174" s="4" t="inlineStr">
        <is>
          <t>US</t>
        </is>
      </c>
      <c r="E174" s="5" t="n">
        <v>7</v>
      </c>
      <c r="F174" s="5" t="n">
        <v>4</v>
      </c>
      <c r="G174" s="5" t="n">
        <v>3</v>
      </c>
      <c r="H174" s="5" t="n">
        <v>8</v>
      </c>
      <c r="I174" s="5" t="n"/>
      <c r="J174" s="6">
        <f>COUNT(E174:I174)</f>
        <v/>
      </c>
      <c r="K174" s="7">
        <f>SUM(E174:I174)</f>
        <v/>
      </c>
      <c r="L174" s="8">
        <f>IF(J174=0,"",K174*5/J174)</f>
        <v/>
      </c>
      <c r="M174" s="8">
        <f>SUMPRODUCT($E$1:$I$1,E174:I174)</f>
        <v/>
      </c>
    </row>
    <row r="175">
      <c r="A175" s="4" t="n">
        <v>173</v>
      </c>
      <c r="B175" s="4" t="inlineStr">
        <is>
          <t>DOV</t>
        </is>
      </c>
      <c r="C175" s="4" t="inlineStr">
        <is>
          <t>Dover Corporation</t>
        </is>
      </c>
      <c r="D175" s="4" t="inlineStr">
        <is>
          <t>US</t>
        </is>
      </c>
      <c r="E175" s="5" t="n">
        <v>4</v>
      </c>
      <c r="F175" s="5" t="n">
        <v>8</v>
      </c>
      <c r="G175" s="5" t="n">
        <v>5</v>
      </c>
      <c r="H175" s="5" t="n">
        <v>5</v>
      </c>
      <c r="I175" s="5" t="n"/>
      <c r="J175" s="6">
        <f>COUNT(E175:I175)</f>
        <v/>
      </c>
      <c r="K175" s="7">
        <f>SUM(E175:I175)</f>
        <v/>
      </c>
      <c r="L175" s="8">
        <f>IF(J175=0,"",K175*5/J175)</f>
        <v/>
      </c>
      <c r="M175" s="8">
        <f>SUMPRODUCT($E$1:$I$1,E175:I175)</f>
        <v/>
      </c>
    </row>
    <row r="176">
      <c r="A176" s="4" t="n">
        <v>174</v>
      </c>
      <c r="B176" s="4" t="inlineStr">
        <is>
          <t>EXC</t>
        </is>
      </c>
      <c r="C176" s="4" t="inlineStr">
        <is>
          <t>Exelon</t>
        </is>
      </c>
      <c r="D176" s="4" t="inlineStr">
        <is>
          <t>US</t>
        </is>
      </c>
      <c r="E176" s="5" t="n">
        <v>8</v>
      </c>
      <c r="F176" s="5" t="n">
        <v>3</v>
      </c>
      <c r="G176" s="5" t="n">
        <v>3</v>
      </c>
      <c r="H176" s="5" t="n">
        <v>8</v>
      </c>
      <c r="I176" s="5" t="n"/>
      <c r="J176" s="6">
        <f>COUNT(E176:I176)</f>
        <v/>
      </c>
      <c r="K176" s="7">
        <f>SUM(E176:I176)</f>
        <v/>
      </c>
      <c r="L176" s="8">
        <f>IF(J176=0,"",K176*5/J176)</f>
        <v/>
      </c>
      <c r="M176" s="8">
        <f>SUMPRODUCT($E$1:$I$1,E176:I176)</f>
        <v/>
      </c>
    </row>
    <row r="177">
      <c r="A177" s="4" t="n">
        <v>175</v>
      </c>
      <c r="B177" s="4" t="inlineStr">
        <is>
          <t>DAL</t>
        </is>
      </c>
      <c r="C177" s="4" t="inlineStr">
        <is>
          <t>Delta Air Lines</t>
        </is>
      </c>
      <c r="D177" s="4" t="inlineStr">
        <is>
          <t>US</t>
        </is>
      </c>
      <c r="E177" s="5" t="n">
        <v>8</v>
      </c>
      <c r="F177" s="5" t="n">
        <v>5</v>
      </c>
      <c r="G177" s="5" t="n">
        <v>7</v>
      </c>
      <c r="H177" s="5" t="n">
        <v>2</v>
      </c>
      <c r="I177" s="5" t="n"/>
      <c r="J177" s="6">
        <f>COUNT(E177:I177)</f>
        <v/>
      </c>
      <c r="K177" s="7">
        <f>SUM(E177:I177)</f>
        <v/>
      </c>
      <c r="L177" s="8">
        <f>IF(J177=0,"",K177*5/J177)</f>
        <v/>
      </c>
      <c r="M177" s="8">
        <f>SUMPRODUCT($E$1:$I$1,E177:I177)</f>
        <v/>
      </c>
    </row>
    <row r="178">
      <c r="A178" s="4" t="n">
        <v>176</v>
      </c>
      <c r="B178" s="4" t="inlineStr">
        <is>
          <t>XOM</t>
        </is>
      </c>
      <c r="C178" s="4" t="inlineStr">
        <is>
          <t>ExxonMobil</t>
        </is>
      </c>
      <c r="D178" s="4" t="inlineStr">
        <is>
          <t>US</t>
        </is>
      </c>
      <c r="E178" s="5" t="n">
        <v>7</v>
      </c>
      <c r="F178" s="5" t="n">
        <v>3</v>
      </c>
      <c r="G178" s="5" t="n">
        <v>3</v>
      </c>
      <c r="H178" s="5" t="n">
        <v>9</v>
      </c>
      <c r="I178" s="5" t="n"/>
      <c r="J178" s="6">
        <f>COUNT(E178:I178)</f>
        <v/>
      </c>
      <c r="K178" s="7">
        <f>SUM(E178:I178)</f>
        <v/>
      </c>
      <c r="L178" s="8">
        <f>IF(J178=0,"",K178*5/J178)</f>
        <v/>
      </c>
      <c r="M178" s="8">
        <f>SUMPRODUCT($E$1:$I$1,E178:I178)</f>
        <v/>
      </c>
    </row>
    <row r="179">
      <c r="A179" s="4" t="n">
        <v>177</v>
      </c>
      <c r="B179" s="4" t="inlineStr">
        <is>
          <t>WFC</t>
        </is>
      </c>
      <c r="C179" s="4" t="inlineStr">
        <is>
          <t>Wells Fargo</t>
        </is>
      </c>
      <c r="D179" s="4" t="inlineStr">
        <is>
          <t>US</t>
        </is>
      </c>
      <c r="E179" s="5" t="n">
        <v>9</v>
      </c>
      <c r="F179" s="5" t="n">
        <v>4</v>
      </c>
      <c r="G179" s="5" t="n">
        <v>4</v>
      </c>
      <c r="H179" s="5" t="n">
        <v>5</v>
      </c>
      <c r="I179" s="5" t="n"/>
      <c r="J179" s="6">
        <f>COUNT(E179:I179)</f>
        <v/>
      </c>
      <c r="K179" s="7">
        <f>SUM(E179:I179)</f>
        <v/>
      </c>
      <c r="L179" s="8">
        <f>IF(J179=0,"",K179*5/J179)</f>
        <v/>
      </c>
      <c r="M179" s="8">
        <f>SUMPRODUCT($E$1:$I$1,E179:I179)</f>
        <v/>
      </c>
    </row>
    <row r="180">
      <c r="A180" s="4" t="n">
        <v>178</v>
      </c>
      <c r="B180" s="4" t="inlineStr">
        <is>
          <t>WAT</t>
        </is>
      </c>
      <c r="C180" s="4" t="inlineStr">
        <is>
          <t>Waters Corporation</t>
        </is>
      </c>
      <c r="D180" s="4" t="inlineStr">
        <is>
          <t>US</t>
        </is>
      </c>
      <c r="E180" s="5" t="n">
        <v>4</v>
      </c>
      <c r="F180" s="5" t="n">
        <v>9</v>
      </c>
      <c r="G180" s="5" t="n">
        <v>2</v>
      </c>
      <c r="H180" s="5" t="n">
        <v>7</v>
      </c>
      <c r="I180" s="5" t="n"/>
      <c r="J180" s="6">
        <f>COUNT(E180:I180)</f>
        <v/>
      </c>
      <c r="K180" s="7">
        <f>SUM(E180:I180)</f>
        <v/>
      </c>
      <c r="L180" s="8">
        <f>IF(J180=0,"",K180*5/J180)</f>
        <v/>
      </c>
      <c r="M180" s="8">
        <f>SUMPRODUCT($E$1:$I$1,E180:I180)</f>
        <v/>
      </c>
    </row>
    <row r="181">
      <c r="A181" s="4" t="n">
        <v>179</v>
      </c>
      <c r="B181" s="4" t="inlineStr">
        <is>
          <t>VRSN</t>
        </is>
      </c>
      <c r="C181" s="4" t="inlineStr">
        <is>
          <t>Verisign</t>
        </is>
      </c>
      <c r="D181" s="4" t="inlineStr">
        <is>
          <t>US</t>
        </is>
      </c>
      <c r="E181" s="5" t="n">
        <v>4</v>
      </c>
      <c r="F181" s="5" t="n">
        <v>9</v>
      </c>
      <c r="G181" s="5" t="n"/>
      <c r="H181" s="5" t="n">
        <v>9</v>
      </c>
      <c r="I181" s="5" t="n"/>
      <c r="J181" s="6">
        <f>COUNT(E181:I181)</f>
        <v/>
      </c>
      <c r="K181" s="7">
        <f>SUM(E181:I181)</f>
        <v/>
      </c>
      <c r="L181" s="8">
        <f>IF(J181=0,"",K181*5/J181)</f>
        <v/>
      </c>
      <c r="M181" s="8">
        <f>SUMPRODUCT($E$1:$I$1,E181:I181)</f>
        <v/>
      </c>
    </row>
    <row r="182">
      <c r="A182" s="4" t="n">
        <v>180</v>
      </c>
      <c r="B182" s="4" t="inlineStr">
        <is>
          <t>AES</t>
        </is>
      </c>
      <c r="C182" s="4" t="inlineStr">
        <is>
          <t>AES Corporation</t>
        </is>
      </c>
      <c r="D182" s="4" t="inlineStr">
        <is>
          <t>US</t>
        </is>
      </c>
      <c r="E182" s="5" t="n">
        <v>9</v>
      </c>
      <c r="F182" s="5" t="n">
        <v>2</v>
      </c>
      <c r="G182" s="5" t="n">
        <v>8</v>
      </c>
      <c r="H182" s="5" t="n">
        <v>3</v>
      </c>
      <c r="I182" s="5" t="n"/>
      <c r="J182" s="6">
        <f>COUNT(E182:I182)</f>
        <v/>
      </c>
      <c r="K182" s="7">
        <f>SUM(E182:I182)</f>
        <v/>
      </c>
      <c r="L182" s="8">
        <f>IF(J182=0,"",K182*5/J182)</f>
        <v/>
      </c>
      <c r="M182" s="8">
        <f>SUMPRODUCT($E$1:$I$1,E182:I182)</f>
        <v/>
      </c>
    </row>
    <row r="183">
      <c r="A183" s="4" t="n">
        <v>181</v>
      </c>
      <c r="B183" s="4" t="inlineStr">
        <is>
          <t>AMGN</t>
        </is>
      </c>
      <c r="C183" s="4" t="inlineStr">
        <is>
          <t>Amgen</t>
        </is>
      </c>
      <c r="D183" s="4" t="inlineStr">
        <is>
          <t>US</t>
        </is>
      </c>
      <c r="E183" s="5" t="n">
        <v>3</v>
      </c>
      <c r="F183" s="5" t="n">
        <v>3</v>
      </c>
      <c r="G183" s="5" t="n">
        <v>10</v>
      </c>
      <c r="H183" s="5" t="n">
        <v>6</v>
      </c>
      <c r="I183" s="5" t="n"/>
      <c r="J183" s="6">
        <f>COUNT(E183:I183)</f>
        <v/>
      </c>
      <c r="K183" s="7">
        <f>SUM(E183:I183)</f>
        <v/>
      </c>
      <c r="L183" s="8">
        <f>IF(J183=0,"",K183*5/J183)</f>
        <v/>
      </c>
      <c r="M183" s="8">
        <f>SUMPRODUCT($E$1:$I$1,E183:I183)</f>
        <v/>
      </c>
    </row>
    <row r="184">
      <c r="A184" s="4" t="n">
        <v>182</v>
      </c>
      <c r="B184" s="4" t="inlineStr">
        <is>
          <t>UHS</t>
        </is>
      </c>
      <c r="C184" s="4" t="inlineStr">
        <is>
          <t>Universal Health Services</t>
        </is>
      </c>
      <c r="D184" s="4" t="inlineStr">
        <is>
          <t>US</t>
        </is>
      </c>
      <c r="E184" s="5" t="n">
        <v>10</v>
      </c>
      <c r="F184" s="5" t="n">
        <v>2</v>
      </c>
      <c r="G184" s="5" t="n">
        <v>7</v>
      </c>
      <c r="H184" s="5" t="n">
        <v>3</v>
      </c>
      <c r="I184" s="5" t="n"/>
      <c r="J184" s="6">
        <f>COUNT(E184:I184)</f>
        <v/>
      </c>
      <c r="K184" s="7">
        <f>SUM(E184:I184)</f>
        <v/>
      </c>
      <c r="L184" s="8">
        <f>IF(J184=0,"",K184*5/J184)</f>
        <v/>
      </c>
      <c r="M184" s="8">
        <f>SUMPRODUCT($E$1:$I$1,E184:I184)</f>
        <v/>
      </c>
    </row>
    <row r="185">
      <c r="A185" s="4" t="n">
        <v>183</v>
      </c>
      <c r="B185" s="4" t="inlineStr">
        <is>
          <t>IP</t>
        </is>
      </c>
      <c r="C185" s="4" t="inlineStr">
        <is>
          <t>International Paper</t>
        </is>
      </c>
      <c r="D185" s="4" t="inlineStr">
        <is>
          <t>US</t>
        </is>
      </c>
      <c r="E185" s="5" t="n">
        <v>10</v>
      </c>
      <c r="F185" s="5" t="n">
        <v>5</v>
      </c>
      <c r="G185" s="5" t="n">
        <v>1</v>
      </c>
      <c r="H185" s="5" t="n">
        <v>6</v>
      </c>
      <c r="I185" s="5" t="n"/>
      <c r="J185" s="6">
        <f>COUNT(E185:I185)</f>
        <v/>
      </c>
      <c r="K185" s="7">
        <f>SUM(E185:I185)</f>
        <v/>
      </c>
      <c r="L185" s="8">
        <f>IF(J185=0,"",K185*5/J185)</f>
        <v/>
      </c>
      <c r="M185" s="8">
        <f>SUMPRODUCT($E$1:$I$1,E185:I185)</f>
        <v/>
      </c>
    </row>
    <row r="186">
      <c r="A186" s="4" t="n">
        <v>184</v>
      </c>
      <c r="B186" s="4" t="inlineStr">
        <is>
          <t>ICE</t>
        </is>
      </c>
      <c r="C186" s="4" t="inlineStr">
        <is>
          <t>Intercontinental Exchange</t>
        </is>
      </c>
      <c r="D186" s="4" t="inlineStr">
        <is>
          <t>US</t>
        </is>
      </c>
      <c r="E186" s="5" t="n">
        <v>7</v>
      </c>
      <c r="F186" s="5" t="n">
        <v>6</v>
      </c>
      <c r="G186" s="5" t="n">
        <v>5</v>
      </c>
      <c r="H186" s="5" t="n">
        <v>4</v>
      </c>
      <c r="I186" s="5" t="n"/>
      <c r="J186" s="6">
        <f>COUNT(E186:I186)</f>
        <v/>
      </c>
      <c r="K186" s="7">
        <f>SUM(E186:I186)</f>
        <v/>
      </c>
      <c r="L186" s="8">
        <f>IF(J186=0,"",K186*5/J186)</f>
        <v/>
      </c>
      <c r="M186" s="8">
        <f>SUMPRODUCT($E$1:$I$1,E186:I186)</f>
        <v/>
      </c>
    </row>
    <row r="187">
      <c r="A187" s="4" t="n">
        <v>185</v>
      </c>
      <c r="B187" s="4" t="inlineStr">
        <is>
          <t>IVZ</t>
        </is>
      </c>
      <c r="C187" s="4" t="inlineStr">
        <is>
          <t>Invesco</t>
        </is>
      </c>
      <c r="D187" s="4" t="inlineStr">
        <is>
          <t>US</t>
        </is>
      </c>
      <c r="E187" s="5" t="n">
        <v>10</v>
      </c>
      <c r="F187" s="5" t="n">
        <v>6</v>
      </c>
      <c r="G187" s="5" t="n">
        <v>1</v>
      </c>
      <c r="H187" s="5" t="n">
        <v>5</v>
      </c>
      <c r="I187" s="5" t="n"/>
      <c r="J187" s="6">
        <f>COUNT(E187:I187)</f>
        <v/>
      </c>
      <c r="K187" s="7">
        <f>SUM(E187:I187)</f>
        <v/>
      </c>
      <c r="L187" s="8">
        <f>IF(J187=0,"",K187*5/J187)</f>
        <v/>
      </c>
      <c r="M187" s="8">
        <f>SUMPRODUCT($E$1:$I$1,E187:I187)</f>
        <v/>
      </c>
    </row>
    <row r="188">
      <c r="A188" s="4" t="n">
        <v>186</v>
      </c>
      <c r="B188" s="4" t="inlineStr">
        <is>
          <t>ISRG</t>
        </is>
      </c>
      <c r="C188" s="4" t="inlineStr">
        <is>
          <t>Intuitive Surgical</t>
        </is>
      </c>
      <c r="D188" s="4" t="inlineStr">
        <is>
          <t>US</t>
        </is>
      </c>
      <c r="E188" s="5" t="n">
        <v>2</v>
      </c>
      <c r="F188" s="5" t="n">
        <v>10</v>
      </c>
      <c r="G188" s="5" t="n">
        <v>6</v>
      </c>
      <c r="H188" s="5" t="n">
        <v>4</v>
      </c>
      <c r="I188" s="5" t="n"/>
      <c r="J188" s="6">
        <f>COUNT(E188:I188)</f>
        <v/>
      </c>
      <c r="K188" s="7">
        <f>SUM(E188:I188)</f>
        <v/>
      </c>
      <c r="L188" s="8">
        <f>IF(J188=0,"",K188*5/J188)</f>
        <v/>
      </c>
      <c r="M188" s="8">
        <f>SUMPRODUCT($E$1:$I$1,E188:I188)</f>
        <v/>
      </c>
    </row>
    <row r="189">
      <c r="A189" s="4" t="n">
        <v>187</v>
      </c>
      <c r="B189" s="4" t="inlineStr">
        <is>
          <t>VRTX</t>
        </is>
      </c>
      <c r="C189" s="4" t="inlineStr">
        <is>
          <t>Vertex Pharmaceuticals</t>
        </is>
      </c>
      <c r="D189" s="4" t="inlineStr">
        <is>
          <t>US</t>
        </is>
      </c>
      <c r="E189" s="5" t="n">
        <v>4</v>
      </c>
      <c r="F189" s="5" t="n">
        <v>10</v>
      </c>
      <c r="G189" s="5" t="n">
        <v>7</v>
      </c>
      <c r="H189" s="5" t="n">
        <v>1</v>
      </c>
      <c r="I189" s="5" t="n"/>
      <c r="J189" s="6">
        <f>COUNT(E189:I189)</f>
        <v/>
      </c>
      <c r="K189" s="7">
        <f>SUM(E189:I189)</f>
        <v/>
      </c>
      <c r="L189" s="8">
        <f>IF(J189=0,"",K189*5/J189)</f>
        <v/>
      </c>
      <c r="M189" s="8">
        <f>SUMPRODUCT($E$1:$I$1,E189:I189)</f>
        <v/>
      </c>
    </row>
    <row r="190">
      <c r="A190" s="4" t="n">
        <v>188</v>
      </c>
      <c r="B190" s="4" t="inlineStr">
        <is>
          <t>SBAC</t>
        </is>
      </c>
      <c r="C190" s="4" t="inlineStr">
        <is>
          <t>SBA Communications</t>
        </is>
      </c>
      <c r="D190" s="4" t="inlineStr">
        <is>
          <t>US</t>
        </is>
      </c>
      <c r="E190" s="5" t="n">
        <v>7</v>
      </c>
      <c r="F190" s="5" t="n">
        <v>10</v>
      </c>
      <c r="G190" s="5" t="n"/>
      <c r="H190" s="5" t="n">
        <v>5</v>
      </c>
      <c r="I190" s="5" t="n"/>
      <c r="J190" s="6">
        <f>COUNT(E190:I190)</f>
        <v/>
      </c>
      <c r="K190" s="7">
        <f>SUM(E190:I190)</f>
        <v/>
      </c>
      <c r="L190" s="8">
        <f>IF(J190=0,"",K190*5/J190)</f>
        <v/>
      </c>
      <c r="M190" s="8">
        <f>SUMPRODUCT($E$1:$I$1,E190:I190)</f>
        <v/>
      </c>
    </row>
    <row r="191">
      <c r="A191" s="4" t="n">
        <v>189</v>
      </c>
      <c r="B191" s="4" t="inlineStr">
        <is>
          <t>CDNS</t>
        </is>
      </c>
      <c r="C191" s="4" t="inlineStr">
        <is>
          <t>Cadence Design Systems</t>
        </is>
      </c>
      <c r="D191" s="4" t="inlineStr">
        <is>
          <t>US</t>
        </is>
      </c>
      <c r="E191" s="5" t="n">
        <v>1</v>
      </c>
      <c r="F191" s="5" t="n">
        <v>10</v>
      </c>
      <c r="G191" s="5" t="n">
        <v>6</v>
      </c>
      <c r="H191" s="5" t="n">
        <v>5</v>
      </c>
      <c r="I191" s="5" t="n"/>
      <c r="J191" s="6">
        <f>COUNT(E191:I191)</f>
        <v/>
      </c>
      <c r="K191" s="7">
        <f>SUM(E191:I191)</f>
        <v/>
      </c>
      <c r="L191" s="8">
        <f>IF(J191=0,"",K191*5/J191)</f>
        <v/>
      </c>
      <c r="M191" s="8">
        <f>SUMPRODUCT($E$1:$I$1,E191:I191)</f>
        <v/>
      </c>
    </row>
    <row r="192">
      <c r="A192" s="4" t="n">
        <v>190</v>
      </c>
      <c r="B192" s="4" t="inlineStr">
        <is>
          <t>CHRW</t>
        </is>
      </c>
      <c r="C192" s="4" t="inlineStr">
        <is>
          <t>C.H. Robinson</t>
        </is>
      </c>
      <c r="D192" s="4" t="inlineStr">
        <is>
          <t>US</t>
        </is>
      </c>
      <c r="E192" s="5" t="n">
        <v>2</v>
      </c>
      <c r="F192" s="5" t="n">
        <v>6</v>
      </c>
      <c r="G192" s="5" t="n">
        <v>9</v>
      </c>
      <c r="H192" s="5" t="n">
        <v>5</v>
      </c>
      <c r="I192" s="5" t="n"/>
      <c r="J192" s="6">
        <f>COUNT(E192:I192)</f>
        <v/>
      </c>
      <c r="K192" s="7">
        <f>SUM(E192:I192)</f>
        <v/>
      </c>
      <c r="L192" s="8">
        <f>IF(J192=0,"",K192*5/J192)</f>
        <v/>
      </c>
      <c r="M192" s="8">
        <f>SUMPRODUCT($E$1:$I$1,E192:I192)</f>
        <v/>
      </c>
    </row>
    <row r="193">
      <c r="A193" s="4" t="n">
        <v>191</v>
      </c>
      <c r="B193" s="4" t="inlineStr">
        <is>
          <t>DGX</t>
        </is>
      </c>
      <c r="C193" s="4" t="inlineStr">
        <is>
          <t>Quest Diagnostics</t>
        </is>
      </c>
      <c r="D193" s="4" t="inlineStr">
        <is>
          <t>US</t>
        </is>
      </c>
      <c r="E193" s="5" t="n">
        <v>6</v>
      </c>
      <c r="F193" s="5" t="n">
        <v>3</v>
      </c>
      <c r="G193" s="5" t="n">
        <v>5</v>
      </c>
      <c r="H193" s="5" t="n">
        <v>8</v>
      </c>
      <c r="I193" s="5" t="n"/>
      <c r="J193" s="6">
        <f>COUNT(E193:I193)</f>
        <v/>
      </c>
      <c r="K193" s="7">
        <f>SUM(E193:I193)</f>
        <v/>
      </c>
      <c r="L193" s="8">
        <f>IF(J193=0,"",K193*5/J193)</f>
        <v/>
      </c>
      <c r="M193" s="8">
        <f>SUMPRODUCT($E$1:$I$1,E193:I193)</f>
        <v/>
      </c>
    </row>
    <row r="194">
      <c r="A194" s="4" t="n">
        <v>192</v>
      </c>
      <c r="B194" s="4" t="inlineStr">
        <is>
          <t>RF</t>
        </is>
      </c>
      <c r="C194" s="4" t="inlineStr">
        <is>
          <t>Regions Financial Corporation</t>
        </is>
      </c>
      <c r="D194" s="4" t="inlineStr">
        <is>
          <t>US</t>
        </is>
      </c>
      <c r="E194" s="5" t="n">
        <v>9</v>
      </c>
      <c r="F194" s="5" t="n">
        <v>6</v>
      </c>
      <c r="G194" s="5" t="n">
        <v>4</v>
      </c>
      <c r="H194" s="5" t="n">
        <v>3</v>
      </c>
      <c r="I194" s="5" t="n"/>
      <c r="J194" s="6">
        <f>COUNT(E194:I194)</f>
        <v/>
      </c>
      <c r="K194" s="7">
        <f>SUM(E194:I194)</f>
        <v/>
      </c>
      <c r="L194" s="8">
        <f>IF(J194=0,"",K194*5/J194)</f>
        <v/>
      </c>
      <c r="M194" s="8">
        <f>SUMPRODUCT($E$1:$I$1,E194:I194)</f>
        <v/>
      </c>
    </row>
    <row r="195">
      <c r="A195" s="4" t="n">
        <v>193</v>
      </c>
      <c r="B195" s="4" t="inlineStr">
        <is>
          <t>SYF</t>
        </is>
      </c>
      <c r="C195" s="4" t="inlineStr">
        <is>
          <t>Synchrony Financial</t>
        </is>
      </c>
      <c r="D195" s="4" t="inlineStr">
        <is>
          <t>US</t>
        </is>
      </c>
      <c r="E195" s="5" t="n">
        <v>9</v>
      </c>
      <c r="F195" s="5" t="n">
        <v>4</v>
      </c>
      <c r="G195" s="5" t="n">
        <v>7</v>
      </c>
      <c r="H195" s="5" t="n">
        <v>2</v>
      </c>
      <c r="I195" s="5" t="n"/>
      <c r="J195" s="6">
        <f>COUNT(E195:I195)</f>
        <v/>
      </c>
      <c r="K195" s="7">
        <f>SUM(E195:I195)</f>
        <v/>
      </c>
      <c r="L195" s="8">
        <f>IF(J195=0,"",K195*5/J195)</f>
        <v/>
      </c>
      <c r="M195" s="8">
        <f>SUMPRODUCT($E$1:$I$1,E195:I195)</f>
        <v/>
      </c>
    </row>
    <row r="196">
      <c r="A196" s="4" t="n">
        <v>194</v>
      </c>
      <c r="B196" s="4" t="inlineStr">
        <is>
          <t>SO</t>
        </is>
      </c>
      <c r="C196" s="4" t="inlineStr">
        <is>
          <t>Southern Company</t>
        </is>
      </c>
      <c r="D196" s="4" t="inlineStr">
        <is>
          <t>US</t>
        </is>
      </c>
      <c r="E196" s="5" t="n">
        <v>6</v>
      </c>
      <c r="F196" s="5" t="n">
        <v>2</v>
      </c>
      <c r="G196" s="5" t="n">
        <v>4</v>
      </c>
      <c r="H196" s="5" t="n">
        <v>10</v>
      </c>
      <c r="I196" s="5" t="n"/>
      <c r="J196" s="6">
        <f>COUNT(E196:I196)</f>
        <v/>
      </c>
      <c r="K196" s="7">
        <f>SUM(E196:I196)</f>
        <v/>
      </c>
      <c r="L196" s="8">
        <f>IF(J196=0,"",K196*5/J196)</f>
        <v/>
      </c>
      <c r="M196" s="8">
        <f>SUMPRODUCT($E$1:$I$1,E196:I196)</f>
        <v/>
      </c>
    </row>
    <row r="197">
      <c r="A197" s="4" t="n">
        <v>195</v>
      </c>
      <c r="B197" s="4" t="inlineStr">
        <is>
          <t>CNC</t>
        </is>
      </c>
      <c r="C197" s="4" t="inlineStr">
        <is>
          <t>Centene Corporation</t>
        </is>
      </c>
      <c r="D197" s="4" t="inlineStr">
        <is>
          <t>US</t>
        </is>
      </c>
      <c r="E197" s="5" t="n">
        <v>9</v>
      </c>
      <c r="F197" s="5" t="n">
        <v>10</v>
      </c>
      <c r="G197" s="5" t="n">
        <v>1</v>
      </c>
      <c r="H197" s="5" t="n">
        <v>2</v>
      </c>
      <c r="I197" s="5" t="n"/>
      <c r="J197" s="6">
        <f>COUNT(E197:I197)</f>
        <v/>
      </c>
      <c r="K197" s="7">
        <f>SUM(E197:I197)</f>
        <v/>
      </c>
      <c r="L197" s="8">
        <f>IF(J197=0,"",K197*5/J197)</f>
        <v/>
      </c>
      <c r="M197" s="8">
        <f>SUMPRODUCT($E$1:$I$1,E197:I197)</f>
        <v/>
      </c>
    </row>
    <row r="198">
      <c r="A198" s="4" t="n">
        <v>196</v>
      </c>
      <c r="B198" s="4" t="inlineStr">
        <is>
          <t>CHD</t>
        </is>
      </c>
      <c r="C198" s="4" t="inlineStr">
        <is>
          <t>Church &amp; Dwight</t>
        </is>
      </c>
      <c r="D198" s="4" t="inlineStr">
        <is>
          <t>US</t>
        </is>
      </c>
      <c r="E198" s="5" t="n">
        <v>4</v>
      </c>
      <c r="F198" s="5" t="n">
        <v>3</v>
      </c>
      <c r="G198" s="5" t="n">
        <v>6</v>
      </c>
      <c r="H198" s="5" t="n">
        <v>9</v>
      </c>
      <c r="I198" s="5" t="n"/>
      <c r="J198" s="6">
        <f>COUNT(E198:I198)</f>
        <v/>
      </c>
      <c r="K198" s="7">
        <f>SUM(E198:I198)</f>
        <v/>
      </c>
      <c r="L198" s="8">
        <f>IF(J198=0,"",K198*5/J198)</f>
        <v/>
      </c>
      <c r="M198" s="8">
        <f>SUMPRODUCT($E$1:$I$1,E198:I198)</f>
        <v/>
      </c>
    </row>
    <row r="199">
      <c r="A199" s="4" t="n">
        <v>197</v>
      </c>
      <c r="B199" s="4" t="inlineStr">
        <is>
          <t>RMD</t>
        </is>
      </c>
      <c r="C199" s="4" t="inlineStr">
        <is>
          <t>ResMed</t>
        </is>
      </c>
      <c r="D199" s="4" t="inlineStr">
        <is>
          <t>US</t>
        </is>
      </c>
      <c r="E199" s="5" t="n">
        <v>6</v>
      </c>
      <c r="F199" s="5" t="n">
        <v>7</v>
      </c>
      <c r="G199" s="5" t="n">
        <v>7</v>
      </c>
      <c r="H199" s="5" t="n">
        <v>2</v>
      </c>
      <c r="I199" s="5" t="n"/>
      <c r="J199" s="6">
        <f>COUNT(E199:I199)</f>
        <v/>
      </c>
      <c r="K199" s="7">
        <f>SUM(E199:I199)</f>
        <v/>
      </c>
      <c r="L199" s="8">
        <f>IF(J199=0,"",K199*5/J199)</f>
        <v/>
      </c>
      <c r="M199" s="8">
        <f>SUMPRODUCT($E$1:$I$1,E199:I199)</f>
        <v/>
      </c>
    </row>
    <row r="200">
      <c r="A200" s="4" t="n">
        <v>198</v>
      </c>
      <c r="B200" s="4" t="inlineStr">
        <is>
          <t>AVB</t>
        </is>
      </c>
      <c r="C200" s="4" t="inlineStr">
        <is>
          <t>AvalonBay Communities</t>
        </is>
      </c>
      <c r="D200" s="4" t="inlineStr">
        <is>
          <t>US</t>
        </is>
      </c>
      <c r="E200" s="5" t="n">
        <v>7</v>
      </c>
      <c r="F200" s="5" t="n">
        <v>2</v>
      </c>
      <c r="G200" s="5" t="n">
        <v>3</v>
      </c>
      <c r="H200" s="5" t="n">
        <v>10</v>
      </c>
      <c r="I200" s="5" t="n"/>
      <c r="J200" s="6">
        <f>COUNT(E200:I200)</f>
        <v/>
      </c>
      <c r="K200" s="7">
        <f>SUM(E200:I200)</f>
        <v/>
      </c>
      <c r="L200" s="8">
        <f>IF(J200=0,"",K200*5/J200)</f>
        <v/>
      </c>
      <c r="M200" s="8">
        <f>SUMPRODUCT($E$1:$I$1,E200:I200)</f>
        <v/>
      </c>
    </row>
    <row r="201">
      <c r="A201" s="4" t="n">
        <v>199</v>
      </c>
      <c r="B201" s="4" t="inlineStr">
        <is>
          <t>LRCX</t>
        </is>
      </c>
      <c r="C201" s="4" t="inlineStr">
        <is>
          <t>Lam Research</t>
        </is>
      </c>
      <c r="D201" s="4" t="inlineStr">
        <is>
          <t>US</t>
        </is>
      </c>
      <c r="E201" s="5" t="n">
        <v>1</v>
      </c>
      <c r="F201" s="5" t="n">
        <v>10</v>
      </c>
      <c r="G201" s="5" t="n">
        <v>10</v>
      </c>
      <c r="H201" s="5" t="n">
        <v>1</v>
      </c>
      <c r="I201" s="5" t="n"/>
      <c r="J201" s="6">
        <f>COUNT(E201:I201)</f>
        <v/>
      </c>
      <c r="K201" s="7">
        <f>SUM(E201:I201)</f>
        <v/>
      </c>
      <c r="L201" s="8">
        <f>IF(J201=0,"",K201*5/J201)</f>
        <v/>
      </c>
      <c r="M201" s="8">
        <f>SUMPRODUCT($E$1:$I$1,E201:I201)</f>
        <v/>
      </c>
    </row>
    <row r="202">
      <c r="A202" s="4" t="n">
        <v>200</v>
      </c>
      <c r="B202" s="4" t="inlineStr">
        <is>
          <t>YUM</t>
        </is>
      </c>
      <c r="C202" s="4" t="inlineStr">
        <is>
          <t>Yum! Brands</t>
        </is>
      </c>
      <c r="D202" s="4" t="inlineStr">
        <is>
          <t>US</t>
        </is>
      </c>
      <c r="E202" s="5" t="n">
        <v>5</v>
      </c>
      <c r="F202" s="5" t="n">
        <v>7</v>
      </c>
      <c r="G202" s="5" t="n"/>
      <c r="H202" s="5" t="n">
        <v>9</v>
      </c>
      <c r="I202" s="5" t="n"/>
      <c r="J202" s="6">
        <f>COUNT(E202:I202)</f>
        <v/>
      </c>
      <c r="K202" s="7">
        <f>SUM(E202:I202)</f>
        <v/>
      </c>
      <c r="L202" s="8">
        <f>IF(J202=0,"",K202*5/J202)</f>
        <v/>
      </c>
      <c r="M202" s="8">
        <f>SUMPRODUCT($E$1:$I$1,E202:I202)</f>
        <v/>
      </c>
    </row>
    <row r="203">
      <c r="A203" s="4" t="n">
        <v>201</v>
      </c>
      <c r="B203" s="4" t="inlineStr">
        <is>
          <t>CNP</t>
        </is>
      </c>
      <c r="C203" s="4" t="inlineStr">
        <is>
          <t>CenterPoint Energy</t>
        </is>
      </c>
      <c r="D203" s="4" t="inlineStr">
        <is>
          <t>US</t>
        </is>
      </c>
      <c r="E203" s="5" t="n">
        <v>5</v>
      </c>
      <c r="F203" s="5" t="n">
        <v>3</v>
      </c>
      <c r="G203" s="5" t="n">
        <v>3</v>
      </c>
      <c r="H203" s="5" t="n">
        <v>10</v>
      </c>
      <c r="I203" s="5" t="n"/>
      <c r="J203" s="6">
        <f>COUNT(E203:I203)</f>
        <v/>
      </c>
      <c r="K203" s="7">
        <f>SUM(E203:I203)</f>
        <v/>
      </c>
      <c r="L203" s="8">
        <f>IF(J203=0,"",K203*5/J203)</f>
        <v/>
      </c>
      <c r="M203" s="8">
        <f>SUMPRODUCT($E$1:$I$1,E203:I203)</f>
        <v/>
      </c>
    </row>
    <row r="204">
      <c r="A204" s="4" t="n">
        <v>202</v>
      </c>
      <c r="B204" s="4" t="inlineStr">
        <is>
          <t>ROST</t>
        </is>
      </c>
      <c r="C204" s="4" t="inlineStr">
        <is>
          <t>Ross Stores</t>
        </is>
      </c>
      <c r="D204" s="4" t="inlineStr">
        <is>
          <t>US</t>
        </is>
      </c>
      <c r="E204" s="5" t="n">
        <v>3</v>
      </c>
      <c r="F204" s="5" t="n">
        <v>6</v>
      </c>
      <c r="G204" s="5" t="n">
        <v>9</v>
      </c>
      <c r="H204" s="5" t="n">
        <v>3</v>
      </c>
      <c r="I204" s="5" t="n"/>
      <c r="J204" s="6">
        <f>COUNT(E204:I204)</f>
        <v/>
      </c>
      <c r="K204" s="7">
        <f>SUM(E204:I204)</f>
        <v/>
      </c>
      <c r="L204" s="8">
        <f>IF(J204=0,"",K204*5/J204)</f>
        <v/>
      </c>
      <c r="M204" s="8">
        <f>SUMPRODUCT($E$1:$I$1,E204:I204)</f>
        <v/>
      </c>
    </row>
    <row r="205">
      <c r="A205" s="4" t="n">
        <v>203</v>
      </c>
      <c r="B205" s="4" t="inlineStr">
        <is>
          <t>ADSK</t>
        </is>
      </c>
      <c r="C205" s="4" t="inlineStr">
        <is>
          <t>Autodesk</t>
        </is>
      </c>
      <c r="D205" s="4" t="inlineStr">
        <is>
          <t>US</t>
        </is>
      </c>
      <c r="E205" s="5" t="n">
        <v>3</v>
      </c>
      <c r="F205" s="5" t="n">
        <v>8</v>
      </c>
      <c r="G205" s="5" t="n">
        <v>9</v>
      </c>
      <c r="H205" s="5" t="n">
        <v>1</v>
      </c>
      <c r="I205" s="5" t="n"/>
      <c r="J205" s="6">
        <f>COUNT(E205:I205)</f>
        <v/>
      </c>
      <c r="K205" s="7">
        <f>SUM(E205:I205)</f>
        <v/>
      </c>
      <c r="L205" s="8">
        <f>IF(J205=0,"",K205*5/J205)</f>
        <v/>
      </c>
      <c r="M205" s="8">
        <f>SUMPRODUCT($E$1:$I$1,E205:I205)</f>
        <v/>
      </c>
    </row>
    <row r="206">
      <c r="A206" s="4" t="n">
        <v>204</v>
      </c>
      <c r="B206" s="4" t="inlineStr">
        <is>
          <t>FOX</t>
        </is>
      </c>
      <c r="C206" s="4" t="inlineStr">
        <is>
          <t>Fox Corporation (Class B)</t>
        </is>
      </c>
      <c r="D206" s="4" t="inlineStr">
        <is>
          <t>US</t>
        </is>
      </c>
      <c r="E206" s="5" t="n">
        <v>9</v>
      </c>
      <c r="F206" s="5" t="n">
        <v>5</v>
      </c>
      <c r="G206" s="5" t="n">
        <v>5</v>
      </c>
      <c r="H206" s="5" t="n">
        <v>2</v>
      </c>
      <c r="I206" s="5" t="n"/>
      <c r="J206" s="6">
        <f>COUNT(E206:I206)</f>
        <v/>
      </c>
      <c r="K206" s="7">
        <f>SUM(E206:I206)</f>
        <v/>
      </c>
      <c r="L206" s="8">
        <f>IF(J206=0,"",K206*5/J206)</f>
        <v/>
      </c>
      <c r="M206" s="8">
        <f>SUMPRODUCT($E$1:$I$1,E206:I206)</f>
        <v/>
      </c>
    </row>
    <row r="207">
      <c r="A207" s="4" t="n">
        <v>205</v>
      </c>
      <c r="B207" s="4" t="inlineStr">
        <is>
          <t>AMAT</t>
        </is>
      </c>
      <c r="C207" s="4" t="inlineStr">
        <is>
          <t>Applied Materials</t>
        </is>
      </c>
      <c r="D207" s="4" t="inlineStr">
        <is>
          <t>US</t>
        </is>
      </c>
      <c r="E207" s="5" t="n">
        <v>1</v>
      </c>
      <c r="F207" s="5" t="n">
        <v>10</v>
      </c>
      <c r="G207" s="5" t="n">
        <v>9</v>
      </c>
      <c r="H207" s="5" t="n">
        <v>1</v>
      </c>
      <c r="I207" s="5" t="n"/>
      <c r="J207" s="6">
        <f>COUNT(E207:I207)</f>
        <v/>
      </c>
      <c r="K207" s="7">
        <f>SUM(E207:I207)</f>
        <v/>
      </c>
      <c r="L207" s="8">
        <f>IF(J207=0,"",K207*5/J207)</f>
        <v/>
      </c>
      <c r="M207" s="8">
        <f>SUMPRODUCT($E$1:$I$1,E207:I207)</f>
        <v/>
      </c>
    </row>
    <row r="208">
      <c r="A208" s="4" t="n">
        <v>206</v>
      </c>
      <c r="B208" s="4" t="inlineStr">
        <is>
          <t>ETN</t>
        </is>
      </c>
      <c r="C208" s="4" t="inlineStr">
        <is>
          <t>Eaton Corporation</t>
        </is>
      </c>
      <c r="D208" s="4" t="inlineStr">
        <is>
          <t>US</t>
        </is>
      </c>
      <c r="E208" s="5" t="n">
        <v>2</v>
      </c>
      <c r="F208" s="5" t="n">
        <v>5</v>
      </c>
      <c r="G208" s="5" t="n">
        <v>7</v>
      </c>
      <c r="H208" s="5" t="n">
        <v>7</v>
      </c>
      <c r="I208" s="5" t="n"/>
      <c r="J208" s="6">
        <f>COUNT(E208:I208)</f>
        <v/>
      </c>
      <c r="K208" s="7">
        <f>SUM(E208:I208)</f>
        <v/>
      </c>
      <c r="L208" s="8">
        <f>IF(J208=0,"",K208*5/J208)</f>
        <v/>
      </c>
      <c r="M208" s="8">
        <f>SUMPRODUCT($E$1:$I$1,E208:I208)</f>
        <v/>
      </c>
    </row>
    <row r="209">
      <c r="A209" s="4" t="n">
        <v>207</v>
      </c>
      <c r="B209" s="4" t="inlineStr">
        <is>
          <t>FOXA</t>
        </is>
      </c>
      <c r="C209" s="4" t="inlineStr">
        <is>
          <t>Fox Corporation (Class A)</t>
        </is>
      </c>
      <c r="D209" s="4" t="inlineStr">
        <is>
          <t>US</t>
        </is>
      </c>
      <c r="E209" s="5" t="n">
        <v>9</v>
      </c>
      <c r="F209" s="5" t="n">
        <v>5</v>
      </c>
      <c r="G209" s="5" t="n">
        <v>5</v>
      </c>
      <c r="H209" s="5" t="n">
        <v>2</v>
      </c>
      <c r="I209" s="5" t="n"/>
      <c r="J209" s="6">
        <f>COUNT(E209:I209)</f>
        <v/>
      </c>
      <c r="K209" s="7">
        <f>SUM(E209:I209)</f>
        <v/>
      </c>
      <c r="L209" s="8">
        <f>IF(J209=0,"",K209*5/J209)</f>
        <v/>
      </c>
      <c r="M209" s="8">
        <f>SUMPRODUCT($E$1:$I$1,E209:I209)</f>
        <v/>
      </c>
    </row>
    <row r="210">
      <c r="A210" s="4" t="n">
        <v>208</v>
      </c>
      <c r="B210" s="4" t="inlineStr">
        <is>
          <t>AJG</t>
        </is>
      </c>
      <c r="C210" s="4" t="inlineStr">
        <is>
          <t>Arthur J. Gallagher &amp; Co.</t>
        </is>
      </c>
      <c r="D210" s="4" t="inlineStr">
        <is>
          <t>US</t>
        </is>
      </c>
      <c r="E210" s="5" t="n">
        <v>5</v>
      </c>
      <c r="F210" s="5" t="n">
        <v>5</v>
      </c>
      <c r="G210" s="5" t="n">
        <v>2</v>
      </c>
      <c r="H210" s="5" t="n">
        <v>9</v>
      </c>
      <c r="I210" s="5" t="n"/>
      <c r="J210" s="6">
        <f>COUNT(E210:I210)</f>
        <v/>
      </c>
      <c r="K210" s="7">
        <f>SUM(E210:I210)</f>
        <v/>
      </c>
      <c r="L210" s="8">
        <f>IF(J210=0,"",K210*5/J210)</f>
        <v/>
      </c>
      <c r="M210" s="8">
        <f>SUMPRODUCT($E$1:$I$1,E210:I210)</f>
        <v/>
      </c>
    </row>
    <row r="211">
      <c r="A211" s="4" t="n">
        <v>209</v>
      </c>
      <c r="B211" s="4" t="inlineStr">
        <is>
          <t>MTB</t>
        </is>
      </c>
      <c r="C211" s="4" t="inlineStr">
        <is>
          <t>M&amp;T Bank</t>
        </is>
      </c>
      <c r="D211" s="4" t="inlineStr">
        <is>
          <t>US</t>
        </is>
      </c>
      <c r="E211" s="5" t="n">
        <v>9</v>
      </c>
      <c r="F211" s="5" t="n">
        <v>3</v>
      </c>
      <c r="G211" s="5" t="n">
        <v>3</v>
      </c>
      <c r="H211" s="5" t="n">
        <v>6</v>
      </c>
      <c r="I211" s="5" t="n"/>
      <c r="J211" s="6">
        <f>COUNT(E211:I211)</f>
        <v/>
      </c>
      <c r="K211" s="7">
        <f>SUM(E211:I211)</f>
        <v/>
      </c>
      <c r="L211" s="8">
        <f>IF(J211=0,"",K211*5/J211)</f>
        <v/>
      </c>
      <c r="M211" s="8">
        <f>SUMPRODUCT($E$1:$I$1,E211:I211)</f>
        <v/>
      </c>
    </row>
    <row r="212">
      <c r="A212" s="4" t="n">
        <v>210</v>
      </c>
      <c r="B212" s="4" t="inlineStr">
        <is>
          <t>MAS</t>
        </is>
      </c>
      <c r="C212" s="4" t="inlineStr">
        <is>
          <t>Masco</t>
        </is>
      </c>
      <c r="D212" s="4" t="inlineStr">
        <is>
          <t>US</t>
        </is>
      </c>
      <c r="E212" s="5" t="n">
        <v>7</v>
      </c>
      <c r="F212" s="5" t="n">
        <v>8</v>
      </c>
      <c r="G212" s="5" t="n"/>
      <c r="H212" s="5" t="n">
        <v>6</v>
      </c>
      <c r="I212" s="5" t="n"/>
      <c r="J212" s="6">
        <f>COUNT(E212:I212)</f>
        <v/>
      </c>
      <c r="K212" s="7">
        <f>SUM(E212:I212)</f>
        <v/>
      </c>
      <c r="L212" s="8">
        <f>IF(J212=0,"",K212*5/J212)</f>
        <v/>
      </c>
      <c r="M212" s="8">
        <f>SUMPRODUCT($E$1:$I$1,E212:I212)</f>
        <v/>
      </c>
    </row>
    <row r="213">
      <c r="A213" s="4" t="n">
        <v>211</v>
      </c>
      <c r="B213" s="4" t="inlineStr">
        <is>
          <t>MS</t>
        </is>
      </c>
      <c r="C213" s="4" t="inlineStr">
        <is>
          <t>Morgan Stanley</t>
        </is>
      </c>
      <c r="D213" s="4" t="inlineStr">
        <is>
          <t>US</t>
        </is>
      </c>
      <c r="E213" s="5" t="n">
        <v>6</v>
      </c>
      <c r="F213" s="5" t="n">
        <v>5</v>
      </c>
      <c r="G213" s="5" t="n">
        <v>6</v>
      </c>
      <c r="H213" s="5" t="n">
        <v>4</v>
      </c>
      <c r="I213" s="5" t="n"/>
      <c r="J213" s="6">
        <f>COUNT(E213:I213)</f>
        <v/>
      </c>
      <c r="K213" s="7">
        <f>SUM(E213:I213)</f>
        <v/>
      </c>
      <c r="L213" s="8">
        <f>IF(J213=0,"",K213*5/J213)</f>
        <v/>
      </c>
      <c r="M213" s="8">
        <f>SUMPRODUCT($E$1:$I$1,E213:I213)</f>
        <v/>
      </c>
    </row>
    <row r="214">
      <c r="A214" s="4" t="n">
        <v>212</v>
      </c>
      <c r="B214" s="4" t="inlineStr">
        <is>
          <t>NEM</t>
        </is>
      </c>
      <c r="C214" s="4" t="inlineStr">
        <is>
          <t>Newmont</t>
        </is>
      </c>
      <c r="D214" s="4" t="inlineStr">
        <is>
          <t>US</t>
        </is>
      </c>
      <c r="E214" s="5" t="n">
        <v>8</v>
      </c>
      <c r="F214" s="5" t="n">
        <v>2</v>
      </c>
      <c r="G214" s="5" t="n">
        <v>8</v>
      </c>
      <c r="H214" s="5" t="n">
        <v>3</v>
      </c>
      <c r="I214" s="5" t="n"/>
      <c r="J214" s="6">
        <f>COUNT(E214:I214)</f>
        <v/>
      </c>
      <c r="K214" s="7">
        <f>SUM(E214:I214)</f>
        <v/>
      </c>
      <c r="L214" s="8">
        <f>IF(J214=0,"",K214*5/J214)</f>
        <v/>
      </c>
      <c r="M214" s="8">
        <f>SUMPRODUCT($E$1:$I$1,E214:I214)</f>
        <v/>
      </c>
    </row>
    <row r="215">
      <c r="A215" s="4" t="n">
        <v>213</v>
      </c>
      <c r="B215" s="4" t="inlineStr">
        <is>
          <t>NCLH</t>
        </is>
      </c>
      <c r="C215" s="4" t="inlineStr">
        <is>
          <t>Norwegian Cruise Line Holdings</t>
        </is>
      </c>
      <c r="D215" s="4" t="inlineStr">
        <is>
          <t>US</t>
        </is>
      </c>
      <c r="E215" s="5" t="n">
        <v>6</v>
      </c>
      <c r="F215" s="5" t="n">
        <v>5</v>
      </c>
      <c r="G215" s="5" t="n">
        <v>8</v>
      </c>
      <c r="H215" s="5" t="n">
        <v>2</v>
      </c>
      <c r="I215" s="5" t="n"/>
      <c r="J215" s="6">
        <f>COUNT(E215:I215)</f>
        <v/>
      </c>
      <c r="K215" s="7">
        <f>SUM(E215:I215)</f>
        <v/>
      </c>
      <c r="L215" s="8">
        <f>IF(J215=0,"",K215*5/J215)</f>
        <v/>
      </c>
      <c r="M215" s="8">
        <f>SUMPRODUCT($E$1:$I$1,E215:I215)</f>
        <v/>
      </c>
    </row>
    <row r="216">
      <c r="A216" s="4" t="n">
        <v>214</v>
      </c>
      <c r="B216" s="4" t="inlineStr">
        <is>
          <t>CLX</t>
        </is>
      </c>
      <c r="C216" s="4" t="inlineStr">
        <is>
          <t>Clorox</t>
        </is>
      </c>
      <c r="D216" s="4" t="inlineStr">
        <is>
          <t>US</t>
        </is>
      </c>
      <c r="E216" s="5" t="n">
        <v>8</v>
      </c>
      <c r="F216" s="5" t="n">
        <v>5</v>
      </c>
      <c r="G216" s="5" t="n"/>
      <c r="H216" s="5" t="n">
        <v>8</v>
      </c>
      <c r="I216" s="5" t="n"/>
      <c r="J216" s="6">
        <f>COUNT(E216:I216)</f>
        <v/>
      </c>
      <c r="K216" s="7">
        <f>SUM(E216:I216)</f>
        <v/>
      </c>
      <c r="L216" s="8">
        <f>IF(J216=0,"",K216*5/J216)</f>
        <v/>
      </c>
      <c r="M216" s="8">
        <f>SUMPRODUCT($E$1:$I$1,E216:I216)</f>
        <v/>
      </c>
    </row>
    <row r="217">
      <c r="A217" s="4" t="n">
        <v>215</v>
      </c>
      <c r="B217" s="4" t="inlineStr">
        <is>
          <t>SNPS</t>
        </is>
      </c>
      <c r="C217" s="4" t="inlineStr">
        <is>
          <t>Synopsys</t>
        </is>
      </c>
      <c r="D217" s="4" t="inlineStr">
        <is>
          <t>US</t>
        </is>
      </c>
      <c r="E217" s="5" t="n">
        <v>3</v>
      </c>
      <c r="F217" s="5" t="n">
        <v>9</v>
      </c>
      <c r="G217" s="5" t="n">
        <v>1</v>
      </c>
      <c r="H217" s="5" t="n">
        <v>8</v>
      </c>
      <c r="I217" s="5" t="n"/>
      <c r="J217" s="6">
        <f>COUNT(E217:I217)</f>
        <v/>
      </c>
      <c r="K217" s="7">
        <f>SUM(E217:I217)</f>
        <v/>
      </c>
      <c r="L217" s="8">
        <f>IF(J217=0,"",K217*5/J217)</f>
        <v/>
      </c>
      <c r="M217" s="8">
        <f>SUMPRODUCT($E$1:$I$1,E217:I217)</f>
        <v/>
      </c>
    </row>
    <row r="218">
      <c r="A218" s="4" t="n">
        <v>216</v>
      </c>
      <c r="B218" s="4" t="inlineStr">
        <is>
          <t>PPL</t>
        </is>
      </c>
      <c r="C218" s="4" t="inlineStr">
        <is>
          <t>PPL Corporation</t>
        </is>
      </c>
      <c r="D218" s="4" t="inlineStr">
        <is>
          <t>US</t>
        </is>
      </c>
      <c r="E218" s="5" t="n">
        <v>7</v>
      </c>
      <c r="F218" s="5" t="n">
        <v>1</v>
      </c>
      <c r="G218" s="5" t="n">
        <v>3</v>
      </c>
      <c r="H218" s="5" t="n">
        <v>10</v>
      </c>
      <c r="I218" s="5" t="n"/>
      <c r="J218" s="6">
        <f>COUNT(E218:I218)</f>
        <v/>
      </c>
      <c r="K218" s="7">
        <f>SUM(E218:I218)</f>
        <v/>
      </c>
      <c r="L218" s="8">
        <f>IF(J218=0,"",K218*5/J218)</f>
        <v/>
      </c>
      <c r="M218" s="8">
        <f>SUMPRODUCT($E$1:$I$1,E218:I218)</f>
        <v/>
      </c>
    </row>
    <row r="219">
      <c r="A219" s="4" t="n">
        <v>217</v>
      </c>
      <c r="B219" s="4" t="inlineStr">
        <is>
          <t>PLD</t>
        </is>
      </c>
      <c r="C219" s="4" t="inlineStr">
        <is>
          <t>Prologis</t>
        </is>
      </c>
      <c r="D219" s="4" t="inlineStr">
        <is>
          <t>US</t>
        </is>
      </c>
      <c r="E219" s="5" t="n">
        <v>5</v>
      </c>
      <c r="F219" s="5" t="n">
        <v>7</v>
      </c>
      <c r="G219" s="5" t="n">
        <v>2</v>
      </c>
      <c r="H219" s="5" t="n">
        <v>7</v>
      </c>
      <c r="I219" s="5" t="n"/>
      <c r="J219" s="6">
        <f>COUNT(E219:I219)</f>
        <v/>
      </c>
      <c r="K219" s="7">
        <f>SUM(E219:I219)</f>
        <v/>
      </c>
      <c r="L219" s="8">
        <f>IF(J219=0,"",K219*5/J219)</f>
        <v/>
      </c>
      <c r="M219" s="8">
        <f>SUMPRODUCT($E$1:$I$1,E219:I219)</f>
        <v/>
      </c>
    </row>
    <row r="220">
      <c r="A220" s="4" t="n">
        <v>218</v>
      </c>
      <c r="B220" s="4" t="inlineStr">
        <is>
          <t>NWSA</t>
        </is>
      </c>
      <c r="C220" s="4" t="inlineStr">
        <is>
          <t>News Corp (Class A)</t>
        </is>
      </c>
      <c r="D220" s="4" t="inlineStr">
        <is>
          <t>US</t>
        </is>
      </c>
      <c r="E220" s="5" t="n">
        <v>6</v>
      </c>
      <c r="F220" s="5" t="n">
        <v>9</v>
      </c>
      <c r="G220" s="5" t="n">
        <v>2</v>
      </c>
      <c r="H220" s="5" t="n">
        <v>4</v>
      </c>
      <c r="I220" s="5" t="n"/>
      <c r="J220" s="6">
        <f>COUNT(E220:I220)</f>
        <v/>
      </c>
      <c r="K220" s="7">
        <f>SUM(E220:I220)</f>
        <v/>
      </c>
      <c r="L220" s="8">
        <f>IF(J220=0,"",K220*5/J220)</f>
        <v/>
      </c>
      <c r="M220" s="8">
        <f>SUMPRODUCT($E$1:$I$1,E220:I220)</f>
        <v/>
      </c>
    </row>
    <row r="221">
      <c r="A221" s="4" t="n">
        <v>219</v>
      </c>
      <c r="B221" s="4" t="inlineStr">
        <is>
          <t>EBAY</t>
        </is>
      </c>
      <c r="C221" s="4" t="inlineStr">
        <is>
          <t>eBay</t>
        </is>
      </c>
      <c r="D221" s="4" t="inlineStr">
        <is>
          <t>US</t>
        </is>
      </c>
      <c r="E221" s="5" t="n">
        <v>4</v>
      </c>
      <c r="F221" s="5" t="n">
        <v>6</v>
      </c>
      <c r="G221" s="5" t="n">
        <v>9</v>
      </c>
      <c r="H221" s="5" t="n">
        <v>2</v>
      </c>
      <c r="I221" s="5" t="n"/>
      <c r="J221" s="6">
        <f>COUNT(E221:I221)</f>
        <v/>
      </c>
      <c r="K221" s="7">
        <f>SUM(E221:I221)</f>
        <v/>
      </c>
      <c r="L221" s="8">
        <f>IF(J221=0,"",K221*5/J221)</f>
        <v/>
      </c>
      <c r="M221" s="8">
        <f>SUMPRODUCT($E$1:$I$1,E221:I221)</f>
        <v/>
      </c>
    </row>
    <row r="222">
      <c r="A222" s="4" t="n">
        <v>220</v>
      </c>
      <c r="B222" s="4" t="inlineStr">
        <is>
          <t>EQR</t>
        </is>
      </c>
      <c r="C222" s="4" t="inlineStr">
        <is>
          <t>Equity Residential</t>
        </is>
      </c>
      <c r="D222" s="4" t="inlineStr">
        <is>
          <t>US</t>
        </is>
      </c>
      <c r="E222" s="5" t="n">
        <v>6</v>
      </c>
      <c r="F222" s="5" t="n">
        <v>2</v>
      </c>
      <c r="G222" s="5" t="n">
        <v>3</v>
      </c>
      <c r="H222" s="5" t="n">
        <v>10</v>
      </c>
      <c r="I222" s="5" t="n"/>
      <c r="J222" s="6">
        <f>COUNT(E222:I222)</f>
        <v/>
      </c>
      <c r="K222" s="7">
        <f>SUM(E222:I222)</f>
        <v/>
      </c>
      <c r="L222" s="8">
        <f>IF(J222=0,"",K222*5/J222)</f>
        <v/>
      </c>
      <c r="M222" s="8">
        <f>SUMPRODUCT($E$1:$I$1,E222:I222)</f>
        <v/>
      </c>
    </row>
    <row r="223">
      <c r="A223" s="4" t="n">
        <v>221</v>
      </c>
      <c r="B223" s="4" t="inlineStr">
        <is>
          <t>ALB</t>
        </is>
      </c>
      <c r="C223" s="4" t="inlineStr">
        <is>
          <t>Albemarle Corporation</t>
        </is>
      </c>
      <c r="D223" s="4" t="inlineStr">
        <is>
          <t>US</t>
        </is>
      </c>
      <c r="E223" s="5" t="n">
        <v>8</v>
      </c>
      <c r="F223" s="5" t="n">
        <v>10</v>
      </c>
      <c r="G223" s="5" t="n">
        <v>1</v>
      </c>
      <c r="H223" s="5" t="n">
        <v>2</v>
      </c>
      <c r="I223" s="5" t="n"/>
      <c r="J223" s="6">
        <f>COUNT(E223:I223)</f>
        <v/>
      </c>
      <c r="K223" s="7">
        <f>SUM(E223:I223)</f>
        <v/>
      </c>
      <c r="L223" s="8">
        <f>IF(J223=0,"",K223*5/J223)</f>
        <v/>
      </c>
      <c r="M223" s="8">
        <f>SUMPRODUCT($E$1:$I$1,E223:I223)</f>
        <v/>
      </c>
    </row>
    <row r="224">
      <c r="A224" s="4" t="n">
        <v>222</v>
      </c>
      <c r="B224" s="4" t="inlineStr">
        <is>
          <t>URI</t>
        </is>
      </c>
      <c r="C224" s="4" t="inlineStr">
        <is>
          <t>United Rentals</t>
        </is>
      </c>
      <c r="D224" s="4" t="inlineStr">
        <is>
          <t>US</t>
        </is>
      </c>
      <c r="E224" s="5" t="n">
        <v>3</v>
      </c>
      <c r="F224" s="5" t="n">
        <v>8</v>
      </c>
      <c r="G224" s="5" t="n">
        <v>8</v>
      </c>
      <c r="H224" s="5" t="n">
        <v>2</v>
      </c>
      <c r="I224" s="5" t="n"/>
      <c r="J224" s="6">
        <f>COUNT(E224:I224)</f>
        <v/>
      </c>
      <c r="K224" s="7">
        <f>SUM(E224:I224)</f>
        <v/>
      </c>
      <c r="L224" s="8">
        <f>IF(J224=0,"",K224*5/J224)</f>
        <v/>
      </c>
      <c r="M224" s="8">
        <f>SUMPRODUCT($E$1:$I$1,E224:I224)</f>
        <v/>
      </c>
    </row>
    <row r="225">
      <c r="A225" s="4" t="n">
        <v>223</v>
      </c>
      <c r="B225" s="4" t="inlineStr">
        <is>
          <t>EL</t>
        </is>
      </c>
      <c r="C225" s="4" t="inlineStr">
        <is>
          <t>Estée Lauder Companies (The)</t>
        </is>
      </c>
      <c r="D225" s="4" t="inlineStr">
        <is>
          <t>US</t>
        </is>
      </c>
      <c r="E225" s="5" t="n">
        <v>3</v>
      </c>
      <c r="F225" s="5" t="n">
        <v>10</v>
      </c>
      <c r="G225" s="5" t="n">
        <v>1</v>
      </c>
      <c r="H225" s="5" t="n">
        <v>6</v>
      </c>
      <c r="I225" s="5" t="n"/>
      <c r="J225" s="6">
        <f>COUNT(E225:I225)</f>
        <v/>
      </c>
      <c r="K225" s="7">
        <f>SUM(E225:I225)</f>
        <v/>
      </c>
      <c r="L225" s="8">
        <f>IF(J225=0,"",K225*5/J225)</f>
        <v/>
      </c>
      <c r="M225" s="8">
        <f>SUMPRODUCT($E$1:$I$1,E225:I225)</f>
        <v/>
      </c>
    </row>
    <row r="226">
      <c r="A226" s="4" t="n">
        <v>224</v>
      </c>
      <c r="B226" s="4" t="inlineStr">
        <is>
          <t>HST</t>
        </is>
      </c>
      <c r="C226" s="4" t="inlineStr">
        <is>
          <t>Host Hotels &amp; Resorts</t>
        </is>
      </c>
      <c r="D226" s="4" t="inlineStr">
        <is>
          <t>US</t>
        </is>
      </c>
      <c r="E226" s="5" t="n">
        <v>7</v>
      </c>
      <c r="F226" s="5" t="n">
        <v>4</v>
      </c>
      <c r="G226" s="5" t="n">
        <v>5</v>
      </c>
      <c r="H226" s="5" t="n">
        <v>4</v>
      </c>
      <c r="I226" s="5" t="n"/>
      <c r="J226" s="6">
        <f>COUNT(E226:I226)</f>
        <v/>
      </c>
      <c r="K226" s="7">
        <f>SUM(E226:I226)</f>
        <v/>
      </c>
      <c r="L226" s="8">
        <f>IF(J226=0,"",K226*5/J226)</f>
        <v/>
      </c>
      <c r="M226" s="8">
        <f>SUMPRODUCT($E$1:$I$1,E226:I226)</f>
        <v/>
      </c>
    </row>
    <row r="227">
      <c r="A227" s="4" t="n">
        <v>225</v>
      </c>
      <c r="B227" s="4" t="inlineStr">
        <is>
          <t>KLAC</t>
        </is>
      </c>
      <c r="C227" s="4" t="inlineStr">
        <is>
          <t>KLA Corporation</t>
        </is>
      </c>
      <c r="D227" s="4" t="inlineStr">
        <is>
          <t>US</t>
        </is>
      </c>
      <c r="E227" s="5" t="n">
        <v>1</v>
      </c>
      <c r="F227" s="5" t="n">
        <v>7</v>
      </c>
      <c r="G227" s="5" t="n">
        <v>10</v>
      </c>
      <c r="H227" s="5" t="n">
        <v>2</v>
      </c>
      <c r="I227" s="5" t="n"/>
      <c r="J227" s="6">
        <f>COUNT(E227:I227)</f>
        <v/>
      </c>
      <c r="K227" s="7">
        <f>SUM(E227:I227)</f>
        <v/>
      </c>
      <c r="L227" s="8">
        <f>IF(J227=0,"",K227*5/J227)</f>
        <v/>
      </c>
      <c r="M227" s="8">
        <f>SUMPRODUCT($E$1:$I$1,E227:I227)</f>
        <v/>
      </c>
    </row>
    <row r="228">
      <c r="A228" s="4" t="n">
        <v>226</v>
      </c>
      <c r="B228" s="4" t="inlineStr">
        <is>
          <t>HII</t>
        </is>
      </c>
      <c r="C228" s="4" t="inlineStr">
        <is>
          <t>Huntington Ingalls Industries</t>
        </is>
      </c>
      <c r="D228" s="4" t="inlineStr">
        <is>
          <t>US</t>
        </is>
      </c>
      <c r="E228" s="5" t="n">
        <v>8</v>
      </c>
      <c r="F228" s="5" t="n">
        <v>5</v>
      </c>
      <c r="G228" s="5" t="n">
        <v>4</v>
      </c>
      <c r="H228" s="5" t="n">
        <v>3</v>
      </c>
      <c r="I228" s="5" t="n"/>
      <c r="J228" s="6">
        <f>COUNT(E228:I228)</f>
        <v/>
      </c>
      <c r="K228" s="7">
        <f>SUM(E228:I228)</f>
        <v/>
      </c>
      <c r="L228" s="8">
        <f>IF(J228=0,"",K228*5/J228)</f>
        <v/>
      </c>
      <c r="M228" s="8">
        <f>SUMPRODUCT($E$1:$I$1,E228:I228)</f>
        <v/>
      </c>
    </row>
    <row r="229">
      <c r="A229" s="4" t="n">
        <v>227</v>
      </c>
      <c r="B229" s="4" t="inlineStr">
        <is>
          <t>HBAN</t>
        </is>
      </c>
      <c r="C229" s="4" t="inlineStr">
        <is>
          <t>Huntington Bancshares</t>
        </is>
      </c>
      <c r="D229" s="4" t="inlineStr">
        <is>
          <t>US</t>
        </is>
      </c>
      <c r="E229" s="5" t="n">
        <v>9</v>
      </c>
      <c r="F229" s="5" t="n">
        <v>4</v>
      </c>
      <c r="G229" s="5" t="n">
        <v>3</v>
      </c>
      <c r="H229" s="5" t="n">
        <v>4</v>
      </c>
      <c r="I229" s="5" t="n"/>
      <c r="J229" s="6">
        <f>COUNT(E229:I229)</f>
        <v/>
      </c>
      <c r="K229" s="7">
        <f>SUM(E229:I229)</f>
        <v/>
      </c>
      <c r="L229" s="8">
        <f>IF(J229=0,"",K229*5/J229)</f>
        <v/>
      </c>
      <c r="M229" s="8">
        <f>SUMPRODUCT($E$1:$I$1,E229:I229)</f>
        <v/>
      </c>
    </row>
    <row r="230">
      <c r="A230" s="4" t="n">
        <v>228</v>
      </c>
      <c r="B230" s="4" t="inlineStr">
        <is>
          <t>IBM</t>
        </is>
      </c>
      <c r="C230" s="4" t="inlineStr">
        <is>
          <t>IBM</t>
        </is>
      </c>
      <c r="D230" s="4" t="inlineStr">
        <is>
          <t>US</t>
        </is>
      </c>
      <c r="E230" s="5" t="n">
        <v>4</v>
      </c>
      <c r="F230" s="5" t="n">
        <v>1</v>
      </c>
      <c r="G230" s="5" t="n">
        <v>8</v>
      </c>
      <c r="H230" s="5" t="n">
        <v>7</v>
      </c>
      <c r="I230" s="5" t="n"/>
      <c r="J230" s="6">
        <f>COUNT(E230:I230)</f>
        <v/>
      </c>
      <c r="K230" s="7">
        <f>SUM(E230:I230)</f>
        <v/>
      </c>
      <c r="L230" s="8">
        <f>IF(J230=0,"",K230*5/J230)</f>
        <v/>
      </c>
      <c r="M230" s="8">
        <f>SUMPRODUCT($E$1:$I$1,E230:I230)</f>
        <v/>
      </c>
    </row>
    <row r="231">
      <c r="A231" s="4" t="n">
        <v>229</v>
      </c>
      <c r="B231" s="4" t="inlineStr">
        <is>
          <t>IDXX</t>
        </is>
      </c>
      <c r="C231" s="4" t="inlineStr">
        <is>
          <t>Idexx Laboratories</t>
        </is>
      </c>
      <c r="D231" s="4" t="inlineStr">
        <is>
          <t>US</t>
        </is>
      </c>
      <c r="E231" s="5" t="n">
        <v>1</v>
      </c>
      <c r="F231" s="5" t="n">
        <v>5</v>
      </c>
      <c r="G231" s="5" t="n">
        <v>10</v>
      </c>
      <c r="H231" s="5" t="n">
        <v>4</v>
      </c>
      <c r="I231" s="5" t="n"/>
      <c r="J231" s="6">
        <f>COUNT(E231:I231)</f>
        <v/>
      </c>
      <c r="K231" s="7">
        <f>SUM(E231:I231)</f>
        <v/>
      </c>
      <c r="L231" s="8">
        <f>IF(J231=0,"",K231*5/J231)</f>
        <v/>
      </c>
      <c r="M231" s="8">
        <f>SUMPRODUCT($E$1:$I$1,E231:I231)</f>
        <v/>
      </c>
    </row>
    <row r="232">
      <c r="A232" s="4" t="n">
        <v>230</v>
      </c>
      <c r="B232" s="4" t="inlineStr">
        <is>
          <t>AIG</t>
        </is>
      </c>
      <c r="C232" s="4" t="inlineStr">
        <is>
          <t>American International Group</t>
        </is>
      </c>
      <c r="D232" s="4" t="inlineStr">
        <is>
          <t>US</t>
        </is>
      </c>
      <c r="E232" s="5" t="n">
        <v>10</v>
      </c>
      <c r="F232" s="5" t="n">
        <v>1</v>
      </c>
      <c r="G232" s="5" t="n">
        <v>2</v>
      </c>
      <c r="H232" s="5" t="n">
        <v>7</v>
      </c>
      <c r="I232" s="5" t="n"/>
      <c r="J232" s="6">
        <f>COUNT(E232:I232)</f>
        <v/>
      </c>
      <c r="K232" s="7">
        <f>SUM(E232:I232)</f>
        <v/>
      </c>
      <c r="L232" s="8">
        <f>IF(J232=0,"",K232*5/J232)</f>
        <v/>
      </c>
      <c r="M232" s="8">
        <f>SUMPRODUCT($E$1:$I$1,E232:I232)</f>
        <v/>
      </c>
    </row>
    <row r="233">
      <c r="A233" s="4" t="n">
        <v>231</v>
      </c>
      <c r="B233" s="4" t="inlineStr">
        <is>
          <t>FITB</t>
        </is>
      </c>
      <c r="C233" s="4" t="inlineStr">
        <is>
          <t>Fifth Third Bancorp</t>
        </is>
      </c>
      <c r="D233" s="4" t="inlineStr">
        <is>
          <t>US</t>
        </is>
      </c>
      <c r="E233" s="5" t="n">
        <v>8</v>
      </c>
      <c r="F233" s="5" t="n">
        <v>5</v>
      </c>
      <c r="G233" s="5" t="n">
        <v>3</v>
      </c>
      <c r="H233" s="5" t="n">
        <v>4</v>
      </c>
      <c r="I233" s="5" t="n"/>
      <c r="J233" s="6">
        <f>COUNT(E233:I233)</f>
        <v/>
      </c>
      <c r="K233" s="7">
        <f>SUM(E233:I233)</f>
        <v/>
      </c>
      <c r="L233" s="8">
        <f>IF(J233=0,"",K233*5/J233)</f>
        <v/>
      </c>
      <c r="M233" s="8">
        <f>SUMPRODUCT($E$1:$I$1,E233:I233)</f>
        <v/>
      </c>
    </row>
    <row r="234">
      <c r="A234" s="4" t="n">
        <v>232</v>
      </c>
      <c r="B234" s="4" t="inlineStr">
        <is>
          <t>ESS</t>
        </is>
      </c>
      <c r="C234" s="4" t="inlineStr">
        <is>
          <t>Essex Property Trust</t>
        </is>
      </c>
      <c r="D234" s="4" t="inlineStr">
        <is>
          <t>US</t>
        </is>
      </c>
      <c r="E234" s="5" t="n">
        <v>4</v>
      </c>
      <c r="F234" s="5" t="n">
        <v>3</v>
      </c>
      <c r="G234" s="5" t="n">
        <v>4</v>
      </c>
      <c r="H234" s="5" t="n">
        <v>9</v>
      </c>
      <c r="I234" s="5" t="n"/>
      <c r="J234" s="6">
        <f>COUNT(E234:I234)</f>
        <v/>
      </c>
      <c r="K234" s="7">
        <f>SUM(E234:I234)</f>
        <v/>
      </c>
      <c r="L234" s="8">
        <f>IF(J234=0,"",K234*5/J234)</f>
        <v/>
      </c>
      <c r="M234" s="8">
        <f>SUMPRODUCT($E$1:$I$1,E234:I234)</f>
        <v/>
      </c>
    </row>
    <row r="235">
      <c r="A235" s="4" t="n">
        <v>233</v>
      </c>
      <c r="B235" s="4" t="inlineStr">
        <is>
          <t>EMR</t>
        </is>
      </c>
      <c r="C235" s="4" t="inlineStr">
        <is>
          <t>Emerson Electric</t>
        </is>
      </c>
      <c r="D235" s="4" t="inlineStr">
        <is>
          <t>US</t>
        </is>
      </c>
      <c r="E235" s="5" t="n">
        <v>4</v>
      </c>
      <c r="F235" s="5" t="n">
        <v>5</v>
      </c>
      <c r="G235" s="5" t="n">
        <v>4</v>
      </c>
      <c r="H235" s="5" t="n">
        <v>7</v>
      </c>
      <c r="I235" s="5" t="n"/>
      <c r="J235" s="6">
        <f>COUNT(E235:I235)</f>
        <v/>
      </c>
      <c r="K235" s="7">
        <f>SUM(E235:I235)</f>
        <v/>
      </c>
      <c r="L235" s="8">
        <f>IF(J235=0,"",K235*5/J235)</f>
        <v/>
      </c>
      <c r="M235" s="8">
        <f>SUMPRODUCT($E$1:$I$1,E235:I235)</f>
        <v/>
      </c>
    </row>
    <row r="236">
      <c r="A236" s="4" t="n">
        <v>234</v>
      </c>
      <c r="B236" s="4" t="inlineStr">
        <is>
          <t>GILD</t>
        </is>
      </c>
      <c r="C236" s="4" t="inlineStr">
        <is>
          <t>Gilead Sciences</t>
        </is>
      </c>
      <c r="D236" s="4" t="inlineStr">
        <is>
          <t>US</t>
        </is>
      </c>
      <c r="E236" s="5" t="n">
        <v>6</v>
      </c>
      <c r="F236" s="5" t="n">
        <v>2</v>
      </c>
      <c r="G236" s="5" t="n">
        <v>9</v>
      </c>
      <c r="H236" s="5" t="n">
        <v>3</v>
      </c>
      <c r="I236" s="5" t="n"/>
      <c r="J236" s="6">
        <f>COUNT(E236:I236)</f>
        <v/>
      </c>
      <c r="K236" s="7">
        <f>SUM(E236:I236)</f>
        <v/>
      </c>
      <c r="L236" s="8">
        <f>IF(J236=0,"",K236*5/J236)</f>
        <v/>
      </c>
      <c r="M236" s="8">
        <f>SUMPRODUCT($E$1:$I$1,E236:I236)</f>
        <v/>
      </c>
    </row>
    <row r="237">
      <c r="A237" s="4" t="n">
        <v>235</v>
      </c>
      <c r="B237" s="4" t="inlineStr">
        <is>
          <t>TSCO</t>
        </is>
      </c>
      <c r="C237" s="4" t="inlineStr">
        <is>
          <t>Tractor Supply</t>
        </is>
      </c>
      <c r="D237" s="4" t="inlineStr">
        <is>
          <t>US</t>
        </is>
      </c>
      <c r="E237" s="5" t="n">
        <v>6</v>
      </c>
      <c r="F237" s="5" t="n">
        <v>3</v>
      </c>
      <c r="G237" s="5" t="n">
        <v>9</v>
      </c>
      <c r="H237" s="5" t="n">
        <v>2</v>
      </c>
      <c r="I237" s="5" t="n"/>
      <c r="J237" s="6">
        <f>COUNT(E237:I237)</f>
        <v/>
      </c>
      <c r="K237" s="7">
        <f>SUM(E237:I237)</f>
        <v/>
      </c>
      <c r="L237" s="8">
        <f>IF(J237=0,"",K237*5/J237)</f>
        <v/>
      </c>
      <c r="M237" s="8">
        <f>SUMPRODUCT($E$1:$I$1,E237:I237)</f>
        <v/>
      </c>
    </row>
    <row r="238">
      <c r="A238" s="4" t="n">
        <v>236</v>
      </c>
      <c r="B238" s="4" t="inlineStr">
        <is>
          <t>TJX</t>
        </is>
      </c>
      <c r="C238" s="4" t="inlineStr">
        <is>
          <t>TJX Companies</t>
        </is>
      </c>
      <c r="D238" s="4" t="inlineStr">
        <is>
          <t>US</t>
        </is>
      </c>
      <c r="E238" s="5" t="n">
        <v>3</v>
      </c>
      <c r="F238" s="5" t="n">
        <v>2</v>
      </c>
      <c r="G238" s="5" t="n">
        <v>9</v>
      </c>
      <c r="H238" s="5" t="n">
        <v>6</v>
      </c>
      <c r="I238" s="5" t="n"/>
      <c r="J238" s="6">
        <f>COUNT(E238:I238)</f>
        <v/>
      </c>
      <c r="K238" s="7">
        <f>SUM(E238:I238)</f>
        <v/>
      </c>
      <c r="L238" s="8">
        <f>IF(J238=0,"",K238*5/J238)</f>
        <v/>
      </c>
      <c r="M238" s="8">
        <f>SUMPRODUCT($E$1:$I$1,E238:I238)</f>
        <v/>
      </c>
    </row>
    <row r="239">
      <c r="A239" s="4" t="n">
        <v>237</v>
      </c>
      <c r="B239" s="4" t="inlineStr">
        <is>
          <t>SRE</t>
        </is>
      </c>
      <c r="C239" s="4" t="inlineStr">
        <is>
          <t>Sempra</t>
        </is>
      </c>
      <c r="D239" s="4" t="inlineStr">
        <is>
          <t>US</t>
        </is>
      </c>
      <c r="E239" s="5" t="n">
        <v>6</v>
      </c>
      <c r="F239" s="5" t="n">
        <v>3</v>
      </c>
      <c r="G239" s="5" t="n">
        <v>2</v>
      </c>
      <c r="H239" s="5" t="n">
        <v>9</v>
      </c>
      <c r="I239" s="5" t="n"/>
      <c r="J239" s="6">
        <f>COUNT(E239:I239)</f>
        <v/>
      </c>
      <c r="K239" s="7">
        <f>SUM(E239:I239)</f>
        <v/>
      </c>
      <c r="L239" s="8">
        <f>IF(J239=0,"",K239*5/J239)</f>
        <v/>
      </c>
      <c r="M239" s="8">
        <f>SUMPRODUCT($E$1:$I$1,E239:I239)</f>
        <v/>
      </c>
    </row>
    <row r="240">
      <c r="A240" s="4" t="n">
        <v>238</v>
      </c>
      <c r="B240" s="4" t="inlineStr">
        <is>
          <t>SPG</t>
        </is>
      </c>
      <c r="C240" s="4" t="inlineStr">
        <is>
          <t>Simon Property Group</t>
        </is>
      </c>
      <c r="D240" s="4" t="inlineStr">
        <is>
          <t>US</t>
        </is>
      </c>
      <c r="E240" s="5" t="n">
        <v>5</v>
      </c>
      <c r="F240" s="5" t="n">
        <v>1</v>
      </c>
      <c r="G240" s="5" t="n">
        <v>10</v>
      </c>
      <c r="H240" s="5" t="n">
        <v>4</v>
      </c>
      <c r="I240" s="5" t="n"/>
      <c r="J240" s="6">
        <f>COUNT(E240:I240)</f>
        <v/>
      </c>
      <c r="K240" s="7">
        <f>SUM(E240:I240)</f>
        <v/>
      </c>
      <c r="L240" s="8">
        <f>IF(J240=0,"",K240*5/J240)</f>
        <v/>
      </c>
      <c r="M240" s="8">
        <f>SUMPRODUCT($E$1:$I$1,E240:I240)</f>
        <v/>
      </c>
    </row>
    <row r="241">
      <c r="A241" s="4" t="n">
        <v>239</v>
      </c>
      <c r="B241" s="4" t="inlineStr">
        <is>
          <t>SNA</t>
        </is>
      </c>
      <c r="C241" s="4" t="inlineStr">
        <is>
          <t>Snap-on</t>
        </is>
      </c>
      <c r="D241" s="4" t="inlineStr">
        <is>
          <t>US</t>
        </is>
      </c>
      <c r="E241" s="5" t="n">
        <v>6</v>
      </c>
      <c r="F241" s="5" t="n">
        <v>3</v>
      </c>
      <c r="G241" s="5" t="n">
        <v>6</v>
      </c>
      <c r="H241" s="5" t="n">
        <v>5</v>
      </c>
      <c r="I241" s="5" t="n"/>
      <c r="J241" s="6">
        <f>COUNT(E241:I241)</f>
        <v/>
      </c>
      <c r="K241" s="7">
        <f>SUM(E241:I241)</f>
        <v/>
      </c>
      <c r="L241" s="8">
        <f>IF(J241=0,"",K241*5/J241)</f>
        <v/>
      </c>
      <c r="M241" s="8">
        <f>SUMPRODUCT($E$1:$I$1,E241:I241)</f>
        <v/>
      </c>
    </row>
    <row r="242">
      <c r="A242" s="4" t="n">
        <v>240</v>
      </c>
      <c r="B242" s="4" t="inlineStr">
        <is>
          <t>DHR</t>
        </is>
      </c>
      <c r="C242" s="4" t="inlineStr">
        <is>
          <t>Danaher Corporation</t>
        </is>
      </c>
      <c r="D242" s="4" t="inlineStr">
        <is>
          <t>US</t>
        </is>
      </c>
      <c r="E242" s="5" t="n">
        <v>4</v>
      </c>
      <c r="F242" s="5" t="n">
        <v>5</v>
      </c>
      <c r="G242" s="5" t="n">
        <v>2</v>
      </c>
      <c r="H242" s="5" t="n">
        <v>9</v>
      </c>
      <c r="I242" s="5" t="n"/>
      <c r="J242" s="6">
        <f>COUNT(E242:I242)</f>
        <v/>
      </c>
      <c r="K242" s="7">
        <f>SUM(E242:I242)</f>
        <v/>
      </c>
      <c r="L242" s="8">
        <f>IF(J242=0,"",K242*5/J242)</f>
        <v/>
      </c>
      <c r="M242" s="8">
        <f>SUMPRODUCT($E$1:$I$1,E242:I242)</f>
        <v/>
      </c>
    </row>
    <row r="243">
      <c r="A243" s="4" t="n">
        <v>241</v>
      </c>
      <c r="B243" s="4" t="inlineStr">
        <is>
          <t>CVX</t>
        </is>
      </c>
      <c r="C243" s="4" t="inlineStr">
        <is>
          <t>Chevron Corporation</t>
        </is>
      </c>
      <c r="D243" s="4" t="inlineStr">
        <is>
          <t>US</t>
        </is>
      </c>
      <c r="E243" s="5" t="n">
        <v>6</v>
      </c>
      <c r="F243" s="5" t="n">
        <v>5</v>
      </c>
      <c r="G243" s="5" t="n">
        <v>2</v>
      </c>
      <c r="H243" s="5" t="n">
        <v>7</v>
      </c>
      <c r="I243" s="5" t="n"/>
      <c r="J243" s="6">
        <f>COUNT(E243:I243)</f>
        <v/>
      </c>
      <c r="K243" s="7">
        <f>SUM(E243:I243)</f>
        <v/>
      </c>
      <c r="L243" s="8">
        <f>IF(J243=0,"",K243*5/J243)</f>
        <v/>
      </c>
      <c r="M243" s="8">
        <f>SUMPRODUCT($E$1:$I$1,E243:I243)</f>
        <v/>
      </c>
    </row>
    <row r="244">
      <c r="A244" s="4" t="n">
        <v>242</v>
      </c>
      <c r="B244" s="4" t="inlineStr">
        <is>
          <t>AIZ</t>
        </is>
      </c>
      <c r="C244" s="4" t="inlineStr">
        <is>
          <t>Assurant</t>
        </is>
      </c>
      <c r="D244" s="4" t="inlineStr">
        <is>
          <t>US</t>
        </is>
      </c>
      <c r="E244" s="5" t="n">
        <v>8</v>
      </c>
      <c r="F244" s="5" t="n">
        <v>2</v>
      </c>
      <c r="G244" s="5" t="n">
        <v>6</v>
      </c>
      <c r="H244" s="5" t="n">
        <v>4</v>
      </c>
      <c r="I244" s="5" t="n"/>
      <c r="J244" s="6">
        <f>COUNT(E244:I244)</f>
        <v/>
      </c>
      <c r="K244" s="7">
        <f>SUM(E244:I244)</f>
        <v/>
      </c>
      <c r="L244" s="8">
        <f>IF(J244=0,"",K244*5/J244)</f>
        <v/>
      </c>
      <c r="M244" s="8">
        <f>SUMPRODUCT($E$1:$I$1,E244:I244)</f>
        <v/>
      </c>
    </row>
    <row r="245">
      <c r="A245" s="4" t="n">
        <v>243</v>
      </c>
      <c r="B245" s="4" t="inlineStr">
        <is>
          <t>NSC</t>
        </is>
      </c>
      <c r="C245" s="4" t="inlineStr">
        <is>
          <t>Norfolk Southern Railway</t>
        </is>
      </c>
      <c r="D245" s="4" t="inlineStr">
        <is>
          <t>US</t>
        </is>
      </c>
      <c r="E245" s="5" t="n">
        <v>5</v>
      </c>
      <c r="F245" s="5" t="n">
        <v>7</v>
      </c>
      <c r="G245" s="5" t="n">
        <v>6</v>
      </c>
      <c r="H245" s="5" t="n">
        <v>2</v>
      </c>
      <c r="I245" s="5" t="n"/>
      <c r="J245" s="6">
        <f>COUNT(E245:I245)</f>
        <v/>
      </c>
      <c r="K245" s="7">
        <f>SUM(E245:I245)</f>
        <v/>
      </c>
      <c r="L245" s="8">
        <f>IF(J245=0,"",K245*5/J245)</f>
        <v/>
      </c>
      <c r="M245" s="8">
        <f>SUMPRODUCT($E$1:$I$1,E245:I245)</f>
        <v/>
      </c>
    </row>
    <row r="246">
      <c r="A246" s="4" t="n">
        <v>244</v>
      </c>
      <c r="B246" s="4" t="inlineStr">
        <is>
          <t>GS</t>
        </is>
      </c>
      <c r="C246" s="4" t="inlineStr">
        <is>
          <t>Goldman Sachs</t>
        </is>
      </c>
      <c r="D246" s="4" t="inlineStr">
        <is>
          <t>US</t>
        </is>
      </c>
      <c r="E246" s="5" t="n">
        <v>7</v>
      </c>
      <c r="F246" s="5" t="n">
        <v>3</v>
      </c>
      <c r="G246" s="5" t="n">
        <v>6</v>
      </c>
      <c r="H246" s="5" t="n">
        <v>4</v>
      </c>
      <c r="I246" s="5" t="n"/>
      <c r="J246" s="6">
        <f>COUNT(E246:I246)</f>
        <v/>
      </c>
      <c r="K246" s="7">
        <f>SUM(E246:I246)</f>
        <v/>
      </c>
      <c r="L246" s="8">
        <f>IF(J246=0,"",K246*5/J246)</f>
        <v/>
      </c>
      <c r="M246" s="8">
        <f>SUMPRODUCT($E$1:$I$1,E246:I246)</f>
        <v/>
      </c>
    </row>
    <row r="247">
      <c r="A247" s="4" t="n">
        <v>245</v>
      </c>
      <c r="B247" s="4" t="inlineStr">
        <is>
          <t>CSX</t>
        </is>
      </c>
      <c r="C247" s="4" t="inlineStr">
        <is>
          <t>CSX Corporation</t>
        </is>
      </c>
      <c r="D247" s="4" t="inlineStr">
        <is>
          <t>US</t>
        </is>
      </c>
      <c r="E247" s="5" t="n">
        <v>4</v>
      </c>
      <c r="F247" s="5" t="n">
        <v>6</v>
      </c>
      <c r="G247" s="5" t="n">
        <v>7</v>
      </c>
      <c r="H247" s="5" t="n">
        <v>3</v>
      </c>
      <c r="I247" s="5" t="n"/>
      <c r="J247" s="6">
        <f>COUNT(E247:I247)</f>
        <v/>
      </c>
      <c r="K247" s="7">
        <f>SUM(E247:I247)</f>
        <v/>
      </c>
      <c r="L247" s="8">
        <f>IF(J247=0,"",K247*5/J247)</f>
        <v/>
      </c>
      <c r="M247" s="8">
        <f>SUMPRODUCT($E$1:$I$1,E247:I247)</f>
        <v/>
      </c>
    </row>
    <row r="248">
      <c r="A248" s="4" t="n">
        <v>246</v>
      </c>
      <c r="B248" s="4" t="inlineStr">
        <is>
          <t>CFG</t>
        </is>
      </c>
      <c r="C248" s="4" t="inlineStr">
        <is>
          <t>Citizens Financial Group</t>
        </is>
      </c>
      <c r="D248" s="4" t="inlineStr">
        <is>
          <t>US</t>
        </is>
      </c>
      <c r="E248" s="5" t="n">
        <v>9</v>
      </c>
      <c r="F248" s="5" t="n">
        <v>6</v>
      </c>
      <c r="G248" s="5" t="n">
        <v>2</v>
      </c>
      <c r="H248" s="5" t="n">
        <v>3</v>
      </c>
      <c r="I248" s="5" t="n"/>
      <c r="J248" s="6">
        <f>COUNT(E248:I248)</f>
        <v/>
      </c>
      <c r="K248" s="7">
        <f>SUM(E248:I248)</f>
        <v/>
      </c>
      <c r="L248" s="8">
        <f>IF(J248=0,"",K248*5/J248)</f>
        <v/>
      </c>
      <c r="M248" s="8">
        <f>SUMPRODUCT($E$1:$I$1,E248:I248)</f>
        <v/>
      </c>
    </row>
    <row r="249">
      <c r="A249" s="4" t="n">
        <v>247</v>
      </c>
      <c r="B249" s="4" t="inlineStr">
        <is>
          <t>CAG</t>
        </is>
      </c>
      <c r="C249" s="4" t="inlineStr">
        <is>
          <t>Conagra Brands</t>
        </is>
      </c>
      <c r="D249" s="4" t="inlineStr">
        <is>
          <t>US</t>
        </is>
      </c>
      <c r="E249" s="5" t="n">
        <v>10</v>
      </c>
      <c r="F249" s="5" t="n">
        <v>2</v>
      </c>
      <c r="G249" s="5" t="n">
        <v>1</v>
      </c>
      <c r="H249" s="5" t="n">
        <v>7</v>
      </c>
      <c r="I249" s="5" t="n"/>
      <c r="J249" s="6">
        <f>COUNT(E249:I249)</f>
        <v/>
      </c>
      <c r="K249" s="7">
        <f>SUM(E249:I249)</f>
        <v/>
      </c>
      <c r="L249" s="8">
        <f>IF(J249=0,"",K249*5/J249)</f>
        <v/>
      </c>
      <c r="M249" s="8">
        <f>SUMPRODUCT($E$1:$I$1,E249:I249)</f>
        <v/>
      </c>
    </row>
    <row r="250">
      <c r="A250" s="4" t="n">
        <v>248</v>
      </c>
      <c r="B250" s="4" t="inlineStr">
        <is>
          <t>NKE</t>
        </is>
      </c>
      <c r="C250" s="4" t="inlineStr">
        <is>
          <t>Nike, Inc.</t>
        </is>
      </c>
      <c r="D250" s="4" t="inlineStr">
        <is>
          <t>US</t>
        </is>
      </c>
      <c r="E250" s="5" t="n">
        <v>5</v>
      </c>
      <c r="F250" s="5" t="n">
        <v>6</v>
      </c>
      <c r="G250" s="5" t="n">
        <v>6</v>
      </c>
      <c r="H250" s="5" t="n">
        <v>3</v>
      </c>
      <c r="I250" s="5" t="n"/>
      <c r="J250" s="6">
        <f>COUNT(E250:I250)</f>
        <v/>
      </c>
      <c r="K250" s="7">
        <f>SUM(E250:I250)</f>
        <v/>
      </c>
      <c r="L250" s="8">
        <f>IF(J250=0,"",K250*5/J250)</f>
        <v/>
      </c>
      <c r="M250" s="8">
        <f>SUMPRODUCT($E$1:$I$1,E250:I250)</f>
        <v/>
      </c>
    </row>
    <row r="251">
      <c r="A251" s="4" t="n">
        <v>249</v>
      </c>
      <c r="B251" s="4" t="inlineStr">
        <is>
          <t>LYB</t>
        </is>
      </c>
      <c r="C251" s="4" t="inlineStr">
        <is>
          <t>LyondellBasell</t>
        </is>
      </c>
      <c r="D251" s="4" t="inlineStr">
        <is>
          <t>US</t>
        </is>
      </c>
      <c r="E251" s="5" t="n">
        <v>9</v>
      </c>
      <c r="F251" s="5" t="n">
        <v>6</v>
      </c>
      <c r="G251" s="5" t="n">
        <v>1</v>
      </c>
      <c r="H251" s="5" t="n">
        <v>4</v>
      </c>
      <c r="I251" s="5" t="n"/>
      <c r="J251" s="6">
        <f>COUNT(E251:I251)</f>
        <v/>
      </c>
      <c r="K251" s="7">
        <f>SUM(E251:I251)</f>
        <v/>
      </c>
      <c r="L251" s="8">
        <f>IF(J251=0,"",K251*5/J251)</f>
        <v/>
      </c>
      <c r="M251" s="8">
        <f>SUMPRODUCT($E$1:$I$1,E251:I251)</f>
        <v/>
      </c>
    </row>
    <row r="252">
      <c r="A252" s="4" t="n">
        <v>250</v>
      </c>
      <c r="B252" s="4" t="inlineStr">
        <is>
          <t>BSX</t>
        </is>
      </c>
      <c r="C252" s="4" t="inlineStr">
        <is>
          <t>Boston Scientific</t>
        </is>
      </c>
      <c r="D252" s="4" t="inlineStr">
        <is>
          <t>US</t>
        </is>
      </c>
      <c r="E252" s="5" t="n">
        <v>7</v>
      </c>
      <c r="F252" s="5" t="n">
        <v>2</v>
      </c>
      <c r="G252" s="5" t="n">
        <v>5</v>
      </c>
      <c r="H252" s="5" t="n">
        <v>5</v>
      </c>
      <c r="I252" s="5" t="n"/>
      <c r="J252" s="6">
        <f>COUNT(E252:I252)</f>
        <v/>
      </c>
      <c r="K252" s="7">
        <f>SUM(E252:I252)</f>
        <v/>
      </c>
      <c r="L252" s="8">
        <f>IF(J252=0,"",K252*5/J252)</f>
        <v/>
      </c>
      <c r="M252" s="8">
        <f>SUMPRODUCT($E$1:$I$1,E252:I252)</f>
        <v/>
      </c>
    </row>
    <row r="253">
      <c r="A253" s="4" t="n">
        <v>251</v>
      </c>
      <c r="B253" s="4" t="inlineStr">
        <is>
          <t>OKE</t>
        </is>
      </c>
      <c r="C253" s="4" t="inlineStr">
        <is>
          <t>ONEOK</t>
        </is>
      </c>
      <c r="D253" s="4" t="inlineStr">
        <is>
          <t>US</t>
        </is>
      </c>
      <c r="E253" s="5" t="n">
        <v>7</v>
      </c>
      <c r="F253" s="5" t="n">
        <v>3</v>
      </c>
      <c r="G253" s="5" t="n">
        <v>6</v>
      </c>
      <c r="H253" s="5" t="n">
        <v>3</v>
      </c>
      <c r="I253" s="5" t="n"/>
      <c r="J253" s="6">
        <f>COUNT(E253:I253)</f>
        <v/>
      </c>
      <c r="K253" s="7">
        <f>SUM(E253:I253)</f>
        <v/>
      </c>
      <c r="L253" s="8">
        <f>IF(J253=0,"",K253*5/J253)</f>
        <v/>
      </c>
      <c r="M253" s="8">
        <f>SUMPRODUCT($E$1:$I$1,E253:I253)</f>
        <v/>
      </c>
    </row>
    <row r="254">
      <c r="A254" s="4" t="n">
        <v>252</v>
      </c>
      <c r="B254" s="4" t="inlineStr">
        <is>
          <t>GLW</t>
        </is>
      </c>
      <c r="C254" s="4" t="inlineStr">
        <is>
          <t>Corning Inc.</t>
        </is>
      </c>
      <c r="D254" s="4" t="inlineStr">
        <is>
          <t>US</t>
        </is>
      </c>
      <c r="E254" s="5" t="n">
        <v>1</v>
      </c>
      <c r="F254" s="5" t="n">
        <v>7</v>
      </c>
      <c r="G254" s="5" t="n">
        <v>6</v>
      </c>
      <c r="H254" s="5" t="n">
        <v>5</v>
      </c>
      <c r="I254" s="5" t="n"/>
      <c r="J254" s="6">
        <f>COUNT(E254:I254)</f>
        <v/>
      </c>
      <c r="K254" s="7">
        <f>SUM(E254:I254)</f>
        <v/>
      </c>
      <c r="L254" s="8">
        <f>IF(J254=0,"",K254*5/J254)</f>
        <v/>
      </c>
      <c r="M254" s="8">
        <f>SUMPRODUCT($E$1:$I$1,E254:I254)</f>
        <v/>
      </c>
    </row>
    <row r="255">
      <c r="A255" s="4" t="n">
        <v>253</v>
      </c>
      <c r="B255" s="4" t="inlineStr">
        <is>
          <t>TAP</t>
        </is>
      </c>
      <c r="C255" s="4" t="inlineStr">
        <is>
          <t>Molson Coors Beverage Company</t>
        </is>
      </c>
      <c r="D255" s="4" t="inlineStr">
        <is>
          <t>US</t>
        </is>
      </c>
      <c r="E255" s="5" t="n">
        <v>10</v>
      </c>
      <c r="F255" s="5" t="n">
        <v>1</v>
      </c>
      <c r="G255" s="5" t="n">
        <v>1</v>
      </c>
      <c r="H255" s="5" t="n">
        <v>7</v>
      </c>
      <c r="I255" s="5" t="n"/>
      <c r="J255" s="6">
        <f>COUNT(E255:I255)</f>
        <v/>
      </c>
      <c r="K255" s="7">
        <f>SUM(E255:I255)</f>
        <v/>
      </c>
      <c r="L255" s="8">
        <f>IF(J255=0,"",K255*5/J255)</f>
        <v/>
      </c>
      <c r="M255" s="8">
        <f>SUMPRODUCT($E$1:$I$1,E255:I255)</f>
        <v/>
      </c>
    </row>
    <row r="256">
      <c r="A256" s="4" t="n">
        <v>254</v>
      </c>
      <c r="B256" s="4" t="inlineStr">
        <is>
          <t>MTD</t>
        </is>
      </c>
      <c r="C256" s="4" t="inlineStr">
        <is>
          <t>Mettler Toledo</t>
        </is>
      </c>
      <c r="D256" s="4" t="inlineStr">
        <is>
          <t>US</t>
        </is>
      </c>
      <c r="E256" s="5" t="n">
        <v>4</v>
      </c>
      <c r="F256" s="5" t="n">
        <v>8</v>
      </c>
      <c r="G256" s="5" t="n"/>
      <c r="H256" s="5" t="n">
        <v>7</v>
      </c>
      <c r="I256" s="5" t="n"/>
      <c r="J256" s="6">
        <f>COUNT(E256:I256)</f>
        <v/>
      </c>
      <c r="K256" s="7">
        <f>SUM(E256:I256)</f>
        <v/>
      </c>
      <c r="L256" s="8">
        <f>IF(J256=0,"",K256*5/J256)</f>
        <v/>
      </c>
      <c r="M256" s="8">
        <f>SUMPRODUCT($E$1:$I$1,E256:I256)</f>
        <v/>
      </c>
    </row>
    <row r="257">
      <c r="A257" s="4" t="n">
        <v>255</v>
      </c>
      <c r="B257" s="4" t="inlineStr">
        <is>
          <t>HUM</t>
        </is>
      </c>
      <c r="C257" s="4" t="inlineStr">
        <is>
          <t>Humana</t>
        </is>
      </c>
      <c r="D257" s="4" t="inlineStr">
        <is>
          <t>US</t>
        </is>
      </c>
      <c r="E257" s="5" t="n">
        <v>4</v>
      </c>
      <c r="F257" s="5" t="n">
        <v>8</v>
      </c>
      <c r="G257" s="5" t="n">
        <v>2</v>
      </c>
      <c r="H257" s="5" t="n">
        <v>5</v>
      </c>
      <c r="I257" s="5" t="n"/>
      <c r="J257" s="6">
        <f>COUNT(E257:I257)</f>
        <v/>
      </c>
      <c r="K257" s="7">
        <f>SUM(E257:I257)</f>
        <v/>
      </c>
      <c r="L257" s="8">
        <f>IF(J257=0,"",K257*5/J257)</f>
        <v/>
      </c>
      <c r="M257" s="8">
        <f>SUMPRODUCT($E$1:$I$1,E257:I257)</f>
        <v/>
      </c>
    </row>
    <row r="258">
      <c r="A258" s="4" t="n">
        <v>256</v>
      </c>
      <c r="B258" s="4" t="inlineStr">
        <is>
          <t>BEN</t>
        </is>
      </c>
      <c r="C258" s="4" t="inlineStr">
        <is>
          <t>Franklin Resources</t>
        </is>
      </c>
      <c r="D258" s="4" t="inlineStr">
        <is>
          <t>US</t>
        </is>
      </c>
      <c r="E258" s="5" t="n">
        <v>7</v>
      </c>
      <c r="F258" s="5" t="n">
        <v>4</v>
      </c>
      <c r="G258" s="5" t="n">
        <v>2</v>
      </c>
      <c r="H258" s="5" t="n">
        <v>6</v>
      </c>
      <c r="I258" s="5" t="n"/>
      <c r="J258" s="6">
        <f>COUNT(E258:I258)</f>
        <v/>
      </c>
      <c r="K258" s="7">
        <f>SUM(E258:I258)</f>
        <v/>
      </c>
      <c r="L258" s="8">
        <f>IF(J258=0,"",K258*5/J258)</f>
        <v/>
      </c>
      <c r="M258" s="8">
        <f>SUMPRODUCT($E$1:$I$1,E258:I258)</f>
        <v/>
      </c>
    </row>
    <row r="259">
      <c r="A259" s="4" t="n">
        <v>257</v>
      </c>
      <c r="B259" s="4" t="inlineStr">
        <is>
          <t>GM</t>
        </is>
      </c>
      <c r="C259" s="4" t="inlineStr">
        <is>
          <t>General Motors</t>
        </is>
      </c>
      <c r="D259" s="4" t="inlineStr">
        <is>
          <t>US</t>
        </is>
      </c>
      <c r="E259" s="5" t="n">
        <v>7</v>
      </c>
      <c r="F259" s="5" t="n">
        <v>7</v>
      </c>
      <c r="G259" s="5" t="n">
        <v>1</v>
      </c>
      <c r="H259" s="5" t="n">
        <v>4</v>
      </c>
      <c r="I259" s="5" t="n"/>
      <c r="J259" s="6">
        <f>COUNT(E259:I259)</f>
        <v/>
      </c>
      <c r="K259" s="7">
        <f>SUM(E259:I259)</f>
        <v/>
      </c>
      <c r="L259" s="8">
        <f>IF(J259=0,"",K259*5/J259)</f>
        <v/>
      </c>
      <c r="M259" s="8">
        <f>SUMPRODUCT($E$1:$I$1,E259:I259)</f>
        <v/>
      </c>
    </row>
    <row r="260">
      <c r="A260" s="4" t="n">
        <v>258</v>
      </c>
      <c r="B260" s="4" t="inlineStr">
        <is>
          <t>APA</t>
        </is>
      </c>
      <c r="C260" s="4" t="inlineStr">
        <is>
          <t>APA Corporation</t>
        </is>
      </c>
      <c r="D260" s="4" t="inlineStr">
        <is>
          <t>US</t>
        </is>
      </c>
      <c r="E260" s="5" t="n">
        <v>9</v>
      </c>
      <c r="F260" s="5" t="n">
        <v>1</v>
      </c>
      <c r="G260" s="5" t="n">
        <v>8</v>
      </c>
      <c r="H260" s="5" t="n">
        <v>1</v>
      </c>
      <c r="I260" s="5" t="n"/>
      <c r="J260" s="6">
        <f>COUNT(E260:I260)</f>
        <v/>
      </c>
      <c r="K260" s="7">
        <f>SUM(E260:I260)</f>
        <v/>
      </c>
      <c r="L260" s="8">
        <f>IF(J260=0,"",K260*5/J260)</f>
        <v/>
      </c>
      <c r="M260" s="8">
        <f>SUMPRODUCT($E$1:$I$1,E260:I260)</f>
        <v/>
      </c>
    </row>
    <row r="261">
      <c r="A261" s="4" t="n">
        <v>259</v>
      </c>
      <c r="B261" s="4" t="inlineStr">
        <is>
          <t>KHC</t>
        </is>
      </c>
      <c r="C261" s="4" t="inlineStr">
        <is>
          <t>Kraft Heinz</t>
        </is>
      </c>
      <c r="D261" s="4" t="inlineStr">
        <is>
          <t>US</t>
        </is>
      </c>
      <c r="E261" s="5" t="n">
        <v>10</v>
      </c>
      <c r="F261" s="5" t="n">
        <v>1</v>
      </c>
      <c r="G261" s="5" t="n">
        <v>1</v>
      </c>
      <c r="H261" s="5" t="n">
        <v>7</v>
      </c>
      <c r="I261" s="5" t="n"/>
      <c r="J261" s="6">
        <f>COUNT(E261:I261)</f>
        <v/>
      </c>
      <c r="K261" s="7">
        <f>SUM(E261:I261)</f>
        <v/>
      </c>
      <c r="L261" s="8">
        <f>IF(J261=0,"",K261*5/J261)</f>
        <v/>
      </c>
      <c r="M261" s="8">
        <f>SUMPRODUCT($E$1:$I$1,E261:I261)</f>
        <v/>
      </c>
    </row>
    <row r="262">
      <c r="A262" s="4" t="n">
        <v>260</v>
      </c>
      <c r="B262" s="4" t="inlineStr">
        <is>
          <t>PSA</t>
        </is>
      </c>
      <c r="C262" s="4" t="inlineStr">
        <is>
          <t>Public Storage</t>
        </is>
      </c>
      <c r="D262" s="4" t="inlineStr">
        <is>
          <t>US</t>
        </is>
      </c>
      <c r="E262" s="5" t="n">
        <v>3</v>
      </c>
      <c r="F262" s="5" t="n">
        <v>1</v>
      </c>
      <c r="G262" s="5" t="n">
        <v>9</v>
      </c>
      <c r="H262" s="5" t="n">
        <v>6</v>
      </c>
      <c r="I262" s="5" t="n"/>
      <c r="J262" s="6">
        <f>COUNT(E262:I262)</f>
        <v/>
      </c>
      <c r="K262" s="7">
        <f>SUM(E262:I262)</f>
        <v/>
      </c>
      <c r="L262" s="8">
        <f>IF(J262=0,"",K262*5/J262)</f>
        <v/>
      </c>
      <c r="M262" s="8">
        <f>SUMPRODUCT($E$1:$I$1,E262:I262)</f>
        <v/>
      </c>
    </row>
    <row r="263">
      <c r="A263" s="4" t="n">
        <v>261</v>
      </c>
      <c r="B263" s="4" t="inlineStr">
        <is>
          <t>AVGO</t>
        </is>
      </c>
      <c r="C263" s="4" t="inlineStr">
        <is>
          <t>Broadcom</t>
        </is>
      </c>
      <c r="D263" s="4" t="inlineStr">
        <is>
          <t>US</t>
        </is>
      </c>
      <c r="E263" s="5" t="n">
        <v>1</v>
      </c>
      <c r="F263" s="5" t="n">
        <v>8</v>
      </c>
      <c r="G263" s="5" t="n">
        <v>8</v>
      </c>
      <c r="H263" s="5" t="n">
        <v>2</v>
      </c>
      <c r="I263" s="5" t="n"/>
      <c r="J263" s="6">
        <f>COUNT(E263:I263)</f>
        <v/>
      </c>
      <c r="K263" s="7">
        <f>SUM(E263:I263)</f>
        <v/>
      </c>
      <c r="L263" s="8">
        <f>IF(J263=0,"",K263*5/J263)</f>
        <v/>
      </c>
      <c r="M263" s="8">
        <f>SUMPRODUCT($E$1:$I$1,E263:I263)</f>
        <v/>
      </c>
    </row>
    <row r="264">
      <c r="A264" s="4" t="n">
        <v>262</v>
      </c>
      <c r="B264" s="4" t="inlineStr">
        <is>
          <t>NWS</t>
        </is>
      </c>
      <c r="C264" s="4" t="inlineStr">
        <is>
          <t>News Corp (Class B)</t>
        </is>
      </c>
      <c r="D264" s="4" t="inlineStr">
        <is>
          <t>US</t>
        </is>
      </c>
      <c r="E264" s="5" t="n">
        <v>5</v>
      </c>
      <c r="F264" s="5" t="n">
        <v>8</v>
      </c>
      <c r="G264" s="5" t="n">
        <v>2</v>
      </c>
      <c r="H264" s="5" t="n">
        <v>4</v>
      </c>
      <c r="I264" s="5" t="n"/>
      <c r="J264" s="6">
        <f>COUNT(E264:I264)</f>
        <v/>
      </c>
      <c r="K264" s="7">
        <f>SUM(E264:I264)</f>
        <v/>
      </c>
      <c r="L264" s="8">
        <f>IF(J264=0,"",K264*5/J264)</f>
        <v/>
      </c>
      <c r="M264" s="8">
        <f>SUMPRODUCT($E$1:$I$1,E264:I264)</f>
        <v/>
      </c>
    </row>
    <row r="265">
      <c r="A265" s="4" t="n">
        <v>263</v>
      </c>
      <c r="B265" s="4" t="inlineStr">
        <is>
          <t>COST</t>
        </is>
      </c>
      <c r="C265" s="4" t="inlineStr">
        <is>
          <t>Costco</t>
        </is>
      </c>
      <c r="D265" s="4" t="inlineStr">
        <is>
          <t>US</t>
        </is>
      </c>
      <c r="E265" s="5" t="n">
        <v>1</v>
      </c>
      <c r="F265" s="5" t="n">
        <v>4</v>
      </c>
      <c r="G265" s="5" t="n">
        <v>9</v>
      </c>
      <c r="H265" s="5" t="n">
        <v>5</v>
      </c>
      <c r="I265" s="5" t="n"/>
      <c r="J265" s="6">
        <f>COUNT(E265:I265)</f>
        <v/>
      </c>
      <c r="K265" s="7">
        <f>SUM(E265:I265)</f>
        <v/>
      </c>
      <c r="L265" s="8">
        <f>IF(J265=0,"",K265*5/J265)</f>
        <v/>
      </c>
      <c r="M265" s="8">
        <f>SUMPRODUCT($E$1:$I$1,E265:I265)</f>
        <v/>
      </c>
    </row>
    <row r="266">
      <c r="A266" s="4" t="n">
        <v>264</v>
      </c>
      <c r="B266" s="4" t="inlineStr">
        <is>
          <t>CPB</t>
        </is>
      </c>
      <c r="C266" s="4" t="inlineStr">
        <is>
          <t>Campbell Soup Company</t>
        </is>
      </c>
      <c r="D266" s="4" t="inlineStr">
        <is>
          <t>US</t>
        </is>
      </c>
      <c r="E266" s="5" t="n">
        <v>9</v>
      </c>
      <c r="F266" s="5" t="n">
        <v>1</v>
      </c>
      <c r="G266" s="5" t="n">
        <v>6</v>
      </c>
      <c r="H266" s="5" t="n">
        <v>3</v>
      </c>
      <c r="I266" s="5" t="n"/>
      <c r="J266" s="6">
        <f>COUNT(E266:I266)</f>
        <v/>
      </c>
      <c r="K266" s="7">
        <f>SUM(E266:I266)</f>
        <v/>
      </c>
      <c r="L266" s="8">
        <f>IF(J266=0,"",K266*5/J266)</f>
        <v/>
      </c>
      <c r="M266" s="8">
        <f>SUMPRODUCT($E$1:$I$1,E266:I266)</f>
        <v/>
      </c>
    </row>
    <row r="267">
      <c r="A267" s="4" t="n">
        <v>265</v>
      </c>
      <c r="B267" s="4" t="inlineStr">
        <is>
          <t>BIIB</t>
        </is>
      </c>
      <c r="C267" s="4" t="inlineStr">
        <is>
          <t>Biogen</t>
        </is>
      </c>
      <c r="D267" s="4" t="inlineStr">
        <is>
          <t>US</t>
        </is>
      </c>
      <c r="E267" s="5" t="n">
        <v>7</v>
      </c>
      <c r="F267" s="5" t="n">
        <v>7</v>
      </c>
      <c r="G267" s="5" t="n">
        <v>2</v>
      </c>
      <c r="H267" s="5" t="n">
        <v>3</v>
      </c>
      <c r="I267" s="5" t="n"/>
      <c r="J267" s="6">
        <f>COUNT(E267:I267)</f>
        <v/>
      </c>
      <c r="K267" s="7">
        <f>SUM(E267:I267)</f>
        <v/>
      </c>
      <c r="L267" s="8">
        <f>IF(J267=0,"",K267*5/J267)</f>
        <v/>
      </c>
      <c r="M267" s="8">
        <f>SUMPRODUCT($E$1:$I$1,E267:I267)</f>
        <v/>
      </c>
    </row>
    <row r="268">
      <c r="A268" s="4" t="n">
        <v>266</v>
      </c>
      <c r="B268" s="4" t="inlineStr">
        <is>
          <t>TPR</t>
        </is>
      </c>
      <c r="C268" s="4" t="inlineStr">
        <is>
          <t>Tapestry, Inc.</t>
        </is>
      </c>
      <c r="D268" s="4" t="inlineStr">
        <is>
          <t>US</t>
        </is>
      </c>
      <c r="E268" s="5" t="n">
        <v>1</v>
      </c>
      <c r="F268" s="5" t="n">
        <v>6</v>
      </c>
      <c r="G268" s="5" t="n">
        <v>10</v>
      </c>
      <c r="H268" s="5" t="n">
        <v>2</v>
      </c>
      <c r="I268" s="5" t="n"/>
      <c r="J268" s="6">
        <f>COUNT(E268:I268)</f>
        <v/>
      </c>
      <c r="K268" s="7">
        <f>SUM(E268:I268)</f>
        <v/>
      </c>
      <c r="L268" s="8">
        <f>IF(J268=0,"",K268*5/J268)</f>
        <v/>
      </c>
      <c r="M268" s="8">
        <f>SUMPRODUCT($E$1:$I$1,E268:I268)</f>
        <v/>
      </c>
    </row>
    <row r="269">
      <c r="A269" s="4" t="n">
        <v>267</v>
      </c>
      <c r="B269" s="4" t="inlineStr">
        <is>
          <t>ALGN</t>
        </is>
      </c>
      <c r="C269" s="4" t="inlineStr">
        <is>
          <t>Align Technology</t>
        </is>
      </c>
      <c r="D269" s="4" t="inlineStr">
        <is>
          <t>US</t>
        </is>
      </c>
      <c r="E269" s="5" t="n">
        <v>5</v>
      </c>
      <c r="F269" s="5" t="n">
        <v>10</v>
      </c>
      <c r="G269" s="5" t="n">
        <v>3</v>
      </c>
      <c r="H269" s="5" t="n">
        <v>1</v>
      </c>
      <c r="I269" s="5" t="n"/>
      <c r="J269" s="6">
        <f>COUNT(E269:I269)</f>
        <v/>
      </c>
      <c r="K269" s="7">
        <f>SUM(E269:I269)</f>
        <v/>
      </c>
      <c r="L269" s="8">
        <f>IF(J269=0,"",K269*5/J269)</f>
        <v/>
      </c>
      <c r="M269" s="8">
        <f>SUMPRODUCT($E$1:$I$1,E269:I269)</f>
        <v/>
      </c>
    </row>
    <row r="270">
      <c r="A270" s="4" t="n">
        <v>268</v>
      </c>
      <c r="B270" s="4" t="inlineStr">
        <is>
          <t>TSN</t>
        </is>
      </c>
      <c r="C270" s="4" t="inlineStr">
        <is>
          <t>Tyson Foods</t>
        </is>
      </c>
      <c r="D270" s="4" t="inlineStr">
        <is>
          <t>US</t>
        </is>
      </c>
      <c r="E270" s="5" t="n">
        <v>6</v>
      </c>
      <c r="F270" s="5" t="n">
        <v>7</v>
      </c>
      <c r="G270" s="5" t="n">
        <v>1</v>
      </c>
      <c r="H270" s="5" t="n">
        <v>5</v>
      </c>
      <c r="I270" s="5" t="n"/>
      <c r="J270" s="6">
        <f>COUNT(E270:I270)</f>
        <v/>
      </c>
      <c r="K270" s="7">
        <f>SUM(E270:I270)</f>
        <v/>
      </c>
      <c r="L270" s="8">
        <f>IF(J270=0,"",K270*5/J270)</f>
        <v/>
      </c>
      <c r="M270" s="8">
        <f>SUMPRODUCT($E$1:$I$1,E270:I270)</f>
        <v/>
      </c>
    </row>
    <row r="271">
      <c r="A271" s="4" t="n">
        <v>269</v>
      </c>
      <c r="B271" s="4" t="inlineStr">
        <is>
          <t>KEY</t>
        </is>
      </c>
      <c r="C271" s="4" t="inlineStr">
        <is>
          <t>KeyCorp</t>
        </is>
      </c>
      <c r="D271" s="4" t="inlineStr">
        <is>
          <t>US</t>
        </is>
      </c>
      <c r="E271" s="5" t="n">
        <v>9</v>
      </c>
      <c r="F271" s="5" t="n">
        <v>4</v>
      </c>
      <c r="G271" s="5" t="n">
        <v>3</v>
      </c>
      <c r="H271" s="5" t="n">
        <v>3</v>
      </c>
      <c r="I271" s="5" t="n"/>
      <c r="J271" s="6">
        <f>COUNT(E271:I271)</f>
        <v/>
      </c>
      <c r="K271" s="7">
        <f>SUM(E271:I271)</f>
        <v/>
      </c>
      <c r="L271" s="8">
        <f>IF(J271=0,"",K271*5/J271)</f>
        <v/>
      </c>
      <c r="M271" s="8">
        <f>SUMPRODUCT($E$1:$I$1,E271:I271)</f>
        <v/>
      </c>
    </row>
    <row r="272">
      <c r="A272" s="4" t="n">
        <v>270</v>
      </c>
      <c r="B272" s="4" t="inlineStr">
        <is>
          <t>JBHT</t>
        </is>
      </c>
      <c r="C272" s="4" t="inlineStr">
        <is>
          <t>J.B. Hunt</t>
        </is>
      </c>
      <c r="D272" s="4" t="inlineStr">
        <is>
          <t>US</t>
        </is>
      </c>
      <c r="E272" s="5" t="n">
        <v>2</v>
      </c>
      <c r="F272" s="5" t="n">
        <v>6</v>
      </c>
      <c r="G272" s="5" t="n">
        <v>6</v>
      </c>
      <c r="H272" s="5" t="n">
        <v>5</v>
      </c>
      <c r="I272" s="5" t="n"/>
      <c r="J272" s="6">
        <f>COUNT(E272:I272)</f>
        <v/>
      </c>
      <c r="K272" s="7">
        <f>SUM(E272:I272)</f>
        <v/>
      </c>
      <c r="L272" s="8">
        <f>IF(J272=0,"",K272*5/J272)</f>
        <v/>
      </c>
      <c r="M272" s="8">
        <f>SUMPRODUCT($E$1:$I$1,E272:I272)</f>
        <v/>
      </c>
    </row>
    <row r="273">
      <c r="A273" s="4" t="n">
        <v>271</v>
      </c>
      <c r="B273" s="4" t="inlineStr">
        <is>
          <t>FRT</t>
        </is>
      </c>
      <c r="C273" s="4" t="inlineStr">
        <is>
          <t>Federal Realty Investment Trust</t>
        </is>
      </c>
      <c r="D273" s="4" t="inlineStr">
        <is>
          <t>US</t>
        </is>
      </c>
      <c r="E273" s="5" t="n">
        <v>6</v>
      </c>
      <c r="F273" s="5" t="n">
        <v>1</v>
      </c>
      <c r="G273" s="5" t="n">
        <v>6</v>
      </c>
      <c r="H273" s="5" t="n">
        <v>6</v>
      </c>
      <c r="I273" s="5" t="n"/>
      <c r="J273" s="6">
        <f>COUNT(E273:I273)</f>
        <v/>
      </c>
      <c r="K273" s="7">
        <f>SUM(E273:I273)</f>
        <v/>
      </c>
      <c r="L273" s="8">
        <f>IF(J273=0,"",K273*5/J273)</f>
        <v/>
      </c>
      <c r="M273" s="8">
        <f>SUMPRODUCT($E$1:$I$1,E273:I273)</f>
        <v/>
      </c>
    </row>
    <row r="274">
      <c r="A274" s="4" t="n">
        <v>272</v>
      </c>
      <c r="B274" s="4" t="inlineStr">
        <is>
          <t>WMB</t>
        </is>
      </c>
      <c r="C274" s="4" t="inlineStr">
        <is>
          <t>Williams Companies</t>
        </is>
      </c>
      <c r="D274" s="4" t="inlineStr">
        <is>
          <t>US</t>
        </is>
      </c>
      <c r="E274" s="5" t="n">
        <v>3</v>
      </c>
      <c r="F274" s="5" t="n">
        <v>5</v>
      </c>
      <c r="G274" s="5" t="n">
        <v>7</v>
      </c>
      <c r="H274" s="5" t="n">
        <v>4</v>
      </c>
      <c r="I274" s="5" t="n"/>
      <c r="J274" s="6">
        <f>COUNT(E274:I274)</f>
        <v/>
      </c>
      <c r="K274" s="7">
        <f>SUM(E274:I274)</f>
        <v/>
      </c>
      <c r="L274" s="8">
        <f>IF(J274=0,"",K274*5/J274)</f>
        <v/>
      </c>
      <c r="M274" s="8">
        <f>SUMPRODUCT($E$1:$I$1,E274:I274)</f>
        <v/>
      </c>
    </row>
    <row r="275">
      <c r="A275" s="4" t="n">
        <v>273</v>
      </c>
      <c r="B275" s="4" t="inlineStr">
        <is>
          <t>COP</t>
        </is>
      </c>
      <c r="C275" s="4" t="inlineStr">
        <is>
          <t>ConocoPhillips</t>
        </is>
      </c>
      <c r="D275" s="4" t="inlineStr">
        <is>
          <t>US</t>
        </is>
      </c>
      <c r="E275" s="5" t="n">
        <v>8</v>
      </c>
      <c r="F275" s="5" t="n">
        <v>5</v>
      </c>
      <c r="G275" s="5" t="n">
        <v>4</v>
      </c>
      <c r="H275" s="5" t="n">
        <v>1</v>
      </c>
      <c r="I275" s="5" t="n"/>
      <c r="J275" s="6">
        <f>COUNT(E275:I275)</f>
        <v/>
      </c>
      <c r="K275" s="7">
        <f>SUM(E275:I275)</f>
        <v/>
      </c>
      <c r="L275" s="8">
        <f>IF(J275=0,"",K275*5/J275)</f>
        <v/>
      </c>
      <c r="M275" s="8">
        <f>SUMPRODUCT($E$1:$I$1,E275:I275)</f>
        <v/>
      </c>
    </row>
    <row r="276">
      <c r="A276" s="4" t="n">
        <v>274</v>
      </c>
      <c r="B276" s="4" t="inlineStr">
        <is>
          <t>MAR</t>
        </is>
      </c>
      <c r="C276" s="4" t="inlineStr">
        <is>
          <t>Marriott International</t>
        </is>
      </c>
      <c r="D276" s="4" t="inlineStr">
        <is>
          <t>US</t>
        </is>
      </c>
      <c r="E276" s="5" t="n">
        <v>2</v>
      </c>
      <c r="F276" s="5" t="n">
        <v>10</v>
      </c>
      <c r="G276" s="5" t="n"/>
      <c r="H276" s="5" t="n">
        <v>6</v>
      </c>
      <c r="I276" s="5" t="n"/>
      <c r="J276" s="6">
        <f>COUNT(E276:I276)</f>
        <v/>
      </c>
      <c r="K276" s="7">
        <f>SUM(E276:I276)</f>
        <v/>
      </c>
      <c r="L276" s="8">
        <f>IF(J276=0,"",K276*5/J276)</f>
        <v/>
      </c>
      <c r="M276" s="8">
        <f>SUMPRODUCT($E$1:$I$1,E276:I276)</f>
        <v/>
      </c>
    </row>
    <row r="277">
      <c r="A277" s="4" t="n">
        <v>275</v>
      </c>
      <c r="B277" s="4" t="inlineStr">
        <is>
          <t>ZBH</t>
        </is>
      </c>
      <c r="C277" s="4" t="inlineStr">
        <is>
          <t>Zimmer Biomet</t>
        </is>
      </c>
      <c r="D277" s="4" t="inlineStr">
        <is>
          <t>US</t>
        </is>
      </c>
      <c r="E277" s="5" t="n">
        <v>8</v>
      </c>
      <c r="F277" s="5" t="n">
        <v>3</v>
      </c>
      <c r="G277" s="5" t="n">
        <v>2</v>
      </c>
      <c r="H277" s="5" t="n">
        <v>5</v>
      </c>
      <c r="I277" s="5" t="n"/>
      <c r="J277" s="6">
        <f>COUNT(E277:I277)</f>
        <v/>
      </c>
      <c r="K277" s="7">
        <f>SUM(E277:I277)</f>
        <v/>
      </c>
      <c r="L277" s="8">
        <f>IF(J277=0,"",K277*5/J277)</f>
        <v/>
      </c>
      <c r="M277" s="8">
        <f>SUMPRODUCT($E$1:$I$1,E277:I277)</f>
        <v/>
      </c>
    </row>
    <row r="278">
      <c r="A278" s="4" t="n">
        <v>276</v>
      </c>
      <c r="B278" s="4" t="inlineStr">
        <is>
          <t>EXPE</t>
        </is>
      </c>
      <c r="C278" s="4" t="inlineStr">
        <is>
          <t>Expedia Group</t>
        </is>
      </c>
      <c r="D278" s="4" t="inlineStr">
        <is>
          <t>US</t>
        </is>
      </c>
      <c r="E278" s="5" t="n">
        <v>3</v>
      </c>
      <c r="F278" s="5" t="n">
        <v>3</v>
      </c>
      <c r="G278" s="5" t="n">
        <v>10</v>
      </c>
      <c r="H278" s="5" t="n">
        <v>2</v>
      </c>
      <c r="I278" s="5" t="n"/>
      <c r="J278" s="6">
        <f>COUNT(E278:I278)</f>
        <v/>
      </c>
      <c r="K278" s="7">
        <f>SUM(E278:I278)</f>
        <v/>
      </c>
      <c r="L278" s="8">
        <f>IF(J278=0,"",K278*5/J278)</f>
        <v/>
      </c>
      <c r="M278" s="8">
        <f>SUMPRODUCT($E$1:$I$1,E278:I278)</f>
        <v/>
      </c>
    </row>
    <row r="279">
      <c r="A279" s="4" t="n">
        <v>277</v>
      </c>
      <c r="B279" s="4" t="inlineStr">
        <is>
          <t>UAL</t>
        </is>
      </c>
      <c r="C279" s="4" t="inlineStr">
        <is>
          <t>United Airlines Holdings</t>
        </is>
      </c>
      <c r="D279" s="4" t="inlineStr">
        <is>
          <t>US</t>
        </is>
      </c>
      <c r="E279" s="5" t="n">
        <v>8</v>
      </c>
      <c r="F279" s="5" t="n">
        <v>2</v>
      </c>
      <c r="G279" s="5" t="n">
        <v>7</v>
      </c>
      <c r="H279" s="5" t="n">
        <v>1</v>
      </c>
      <c r="I279" s="5" t="n"/>
      <c r="J279" s="6">
        <f>COUNT(E279:I279)</f>
        <v/>
      </c>
      <c r="K279" s="7">
        <f>SUM(E279:I279)</f>
        <v/>
      </c>
      <c r="L279" s="8">
        <f>IF(J279=0,"",K279*5/J279)</f>
        <v/>
      </c>
      <c r="M279" s="8">
        <f>SUMPRODUCT($E$1:$I$1,E279:I279)</f>
        <v/>
      </c>
    </row>
    <row r="280">
      <c r="A280" s="4" t="n">
        <v>278</v>
      </c>
      <c r="B280" s="4" t="inlineStr">
        <is>
          <t>EA</t>
        </is>
      </c>
      <c r="C280" s="4" t="inlineStr">
        <is>
          <t>Electronic Arts</t>
        </is>
      </c>
      <c r="D280" s="4" t="inlineStr">
        <is>
          <t>US</t>
        </is>
      </c>
      <c r="E280" s="5" t="n">
        <v>2</v>
      </c>
      <c r="F280" s="5" t="n">
        <v>9</v>
      </c>
      <c r="G280" s="5" t="n">
        <v>5</v>
      </c>
      <c r="H280" s="5" t="n">
        <v>2</v>
      </c>
      <c r="I280" s="5" t="n"/>
      <c r="J280" s="6">
        <f>COUNT(E280:I280)</f>
        <v/>
      </c>
      <c r="K280" s="7">
        <f>SUM(E280:I280)</f>
        <v/>
      </c>
      <c r="L280" s="8">
        <f>IF(J280=0,"",K280*5/J280)</f>
        <v/>
      </c>
      <c r="M280" s="8">
        <f>SUMPRODUCT($E$1:$I$1,E280:I280)</f>
        <v/>
      </c>
    </row>
    <row r="281">
      <c r="A281" s="4" t="n">
        <v>279</v>
      </c>
      <c r="B281" s="4" t="inlineStr">
        <is>
          <t>WY</t>
        </is>
      </c>
      <c r="C281" s="4" t="inlineStr">
        <is>
          <t>Weyerhaeuser</t>
        </is>
      </c>
      <c r="D281" s="4" t="inlineStr">
        <is>
          <t>US</t>
        </is>
      </c>
      <c r="E281" s="5" t="n">
        <v>5</v>
      </c>
      <c r="F281" s="5" t="n">
        <v>4</v>
      </c>
      <c r="G281" s="5" t="n">
        <v>1</v>
      </c>
      <c r="H281" s="5" t="n">
        <v>8</v>
      </c>
      <c r="I281" s="5" t="n"/>
      <c r="J281" s="6">
        <f>COUNT(E281:I281)</f>
        <v/>
      </c>
      <c r="K281" s="7">
        <f>SUM(E281:I281)</f>
        <v/>
      </c>
      <c r="L281" s="8">
        <f>IF(J281=0,"",K281*5/J281)</f>
        <v/>
      </c>
      <c r="M281" s="8">
        <f>SUMPRODUCT($E$1:$I$1,E281:I281)</f>
        <v/>
      </c>
    </row>
    <row r="282">
      <c r="A282" s="4" t="n">
        <v>280</v>
      </c>
      <c r="B282" s="4" t="inlineStr">
        <is>
          <t>F</t>
        </is>
      </c>
      <c r="C282" s="4" t="inlineStr">
        <is>
          <t>Ford Motor Company</t>
        </is>
      </c>
      <c r="D282" s="4" t="inlineStr">
        <is>
          <t>US</t>
        </is>
      </c>
      <c r="E282" s="5" t="n">
        <v>9</v>
      </c>
      <c r="F282" s="5" t="n">
        <v>3</v>
      </c>
      <c r="G282" s="5" t="n">
        <v>1</v>
      </c>
      <c r="H282" s="5" t="n">
        <v>5</v>
      </c>
      <c r="I282" s="5" t="n"/>
      <c r="J282" s="6">
        <f>COUNT(E282:I282)</f>
        <v/>
      </c>
      <c r="K282" s="7">
        <f>SUM(E282:I282)</f>
        <v/>
      </c>
      <c r="L282" s="8">
        <f>IF(J282=0,"",K282*5/J282)</f>
        <v/>
      </c>
      <c r="M282" s="8">
        <f>SUMPRODUCT($E$1:$I$1,E282:I282)</f>
        <v/>
      </c>
    </row>
    <row r="283">
      <c r="A283" s="4" t="n">
        <v>281</v>
      </c>
      <c r="B283" s="4" t="inlineStr">
        <is>
          <t>CCI</t>
        </is>
      </c>
      <c r="C283" s="4" t="inlineStr">
        <is>
          <t>Crown Castle</t>
        </is>
      </c>
      <c r="D283" s="4" t="inlineStr">
        <is>
          <t>US</t>
        </is>
      </c>
      <c r="E283" s="5" t="n">
        <v>3</v>
      </c>
      <c r="F283" s="5" t="n">
        <v>7</v>
      </c>
      <c r="G283" s="5" t="n"/>
      <c r="H283" s="5" t="n">
        <v>8</v>
      </c>
      <c r="I283" s="5" t="n"/>
      <c r="J283" s="6">
        <f>COUNT(E283:I283)</f>
        <v/>
      </c>
      <c r="K283" s="7">
        <f>SUM(E283:I283)</f>
        <v/>
      </c>
      <c r="L283" s="8">
        <f>IF(J283=0,"",K283*5/J283)</f>
        <v/>
      </c>
      <c r="M283" s="8">
        <f>SUMPRODUCT($E$1:$I$1,E283:I283)</f>
        <v/>
      </c>
    </row>
    <row r="284">
      <c r="A284" s="4" t="n">
        <v>282</v>
      </c>
      <c r="B284" s="4" t="inlineStr">
        <is>
          <t>BWA</t>
        </is>
      </c>
      <c r="C284" s="4" t="inlineStr">
        <is>
          <t>BorgWarner</t>
        </is>
      </c>
      <c r="D284" s="4" t="inlineStr">
        <is>
          <t>US</t>
        </is>
      </c>
      <c r="E284" s="5" t="n">
        <v>4</v>
      </c>
      <c r="F284" s="5" t="n">
        <v>9</v>
      </c>
      <c r="G284" s="5" t="n">
        <v>2</v>
      </c>
      <c r="H284" s="5" t="n">
        <v>3</v>
      </c>
      <c r="I284" s="5" t="n"/>
      <c r="J284" s="6">
        <f>COUNT(E284:I284)</f>
        <v/>
      </c>
      <c r="K284" s="7">
        <f>SUM(E284:I284)</f>
        <v/>
      </c>
      <c r="L284" s="8">
        <f>IF(J284=0,"",K284*5/J284)</f>
        <v/>
      </c>
      <c r="M284" s="8">
        <f>SUMPRODUCT($E$1:$I$1,E284:I284)</f>
        <v/>
      </c>
    </row>
    <row r="285">
      <c r="A285" s="4" t="n">
        <v>283</v>
      </c>
      <c r="B285" s="4" t="inlineStr">
        <is>
          <t>FCX</t>
        </is>
      </c>
      <c r="C285" s="4" t="inlineStr">
        <is>
          <t>Freeport-McMoRan</t>
        </is>
      </c>
      <c r="D285" s="4" t="inlineStr">
        <is>
          <t>US</t>
        </is>
      </c>
      <c r="E285" s="5" t="n">
        <v>4</v>
      </c>
      <c r="F285" s="5" t="n">
        <v>7</v>
      </c>
      <c r="G285" s="5" t="n">
        <v>5</v>
      </c>
      <c r="H285" s="5" t="n">
        <v>1</v>
      </c>
      <c r="I285" s="5" t="n"/>
      <c r="J285" s="6">
        <f>COUNT(E285:I285)</f>
        <v/>
      </c>
      <c r="K285" s="7">
        <f>SUM(E285:I285)</f>
        <v/>
      </c>
      <c r="L285" s="8">
        <f>IF(J285=0,"",K285*5/J285)</f>
        <v/>
      </c>
      <c r="M285" s="8">
        <f>SUMPRODUCT($E$1:$I$1,E285:I285)</f>
        <v/>
      </c>
    </row>
    <row r="286">
      <c r="A286" s="4" t="n">
        <v>284</v>
      </c>
      <c r="B286" s="4" t="inlineStr">
        <is>
          <t>EXR</t>
        </is>
      </c>
      <c r="C286" s="4" t="inlineStr">
        <is>
          <t>Extra Space Storage</t>
        </is>
      </c>
      <c r="D286" s="4" t="inlineStr">
        <is>
          <t>US</t>
        </is>
      </c>
      <c r="E286" s="5" t="n">
        <v>5</v>
      </c>
      <c r="F286" s="5" t="n">
        <v>5</v>
      </c>
      <c r="G286" s="5" t="n">
        <v>2</v>
      </c>
      <c r="H286" s="5" t="n">
        <v>5</v>
      </c>
      <c r="I286" s="5" t="n"/>
      <c r="J286" s="6">
        <f>COUNT(E286:I286)</f>
        <v/>
      </c>
      <c r="K286" s="7">
        <f>SUM(E286:I286)</f>
        <v/>
      </c>
      <c r="L286" s="8">
        <f>IF(J286=0,"",K286*5/J286)</f>
        <v/>
      </c>
      <c r="M286" s="8">
        <f>SUMPRODUCT($E$1:$I$1,E286:I286)</f>
        <v/>
      </c>
    </row>
    <row r="287">
      <c r="A287" s="4" t="n">
        <v>285</v>
      </c>
      <c r="B287" s="4" t="inlineStr">
        <is>
          <t>FAST</t>
        </is>
      </c>
      <c r="C287" s="4" t="inlineStr">
        <is>
          <t>Fastenal</t>
        </is>
      </c>
      <c r="D287" s="4" t="inlineStr">
        <is>
          <t>US</t>
        </is>
      </c>
      <c r="E287" s="5" t="n">
        <v>2</v>
      </c>
      <c r="F287" s="5" t="n">
        <v>4</v>
      </c>
      <c r="G287" s="5" t="n">
        <v>8</v>
      </c>
      <c r="H287" s="5" t="n">
        <v>3</v>
      </c>
      <c r="I287" s="5" t="n"/>
      <c r="J287" s="6">
        <f>COUNT(E287:I287)</f>
        <v/>
      </c>
      <c r="K287" s="7">
        <f>SUM(E287:I287)</f>
        <v/>
      </c>
      <c r="L287" s="8">
        <f>IF(J287=0,"",K287*5/J287)</f>
        <v/>
      </c>
      <c r="M287" s="8">
        <f>SUMPRODUCT($E$1:$I$1,E287:I287)</f>
        <v/>
      </c>
    </row>
    <row r="288">
      <c r="A288" s="4" t="n">
        <v>286</v>
      </c>
      <c r="B288" s="4" t="inlineStr">
        <is>
          <t>INCY</t>
        </is>
      </c>
      <c r="C288" s="4" t="inlineStr">
        <is>
          <t>Incyte</t>
        </is>
      </c>
      <c r="D288" s="4" t="inlineStr">
        <is>
          <t>US</t>
        </is>
      </c>
      <c r="E288" s="5" t="n">
        <v>7</v>
      </c>
      <c r="F288" s="5" t="n">
        <v>1</v>
      </c>
      <c r="G288" s="5" t="n">
        <v>8</v>
      </c>
      <c r="H288" s="5" t="n">
        <v>1</v>
      </c>
      <c r="I288" s="5" t="n"/>
      <c r="J288" s="6">
        <f>COUNT(E288:I288)</f>
        <v/>
      </c>
      <c r="K288" s="7">
        <f>SUM(E288:I288)</f>
        <v/>
      </c>
      <c r="L288" s="8">
        <f>IF(J288=0,"",K288*5/J288)</f>
        <v/>
      </c>
      <c r="M288" s="8">
        <f>SUMPRODUCT($E$1:$I$1,E288:I288)</f>
        <v/>
      </c>
    </row>
    <row r="289">
      <c r="A289" s="4" t="n">
        <v>287</v>
      </c>
      <c r="B289" s="4" t="inlineStr">
        <is>
          <t>EW</t>
        </is>
      </c>
      <c r="C289" s="4" t="inlineStr">
        <is>
          <t>Edwards Lifesciences</t>
        </is>
      </c>
      <c r="D289" s="4" t="inlineStr">
        <is>
          <t>US</t>
        </is>
      </c>
      <c r="E289" s="5" t="n">
        <v>3</v>
      </c>
      <c r="F289" s="5" t="n">
        <v>7</v>
      </c>
      <c r="G289" s="5" t="n">
        <v>4</v>
      </c>
      <c r="H289" s="5" t="n">
        <v>3</v>
      </c>
      <c r="I289" s="5" t="n"/>
      <c r="J289" s="6">
        <f>COUNT(E289:I289)</f>
        <v/>
      </c>
      <c r="K289" s="7">
        <f>SUM(E289:I289)</f>
        <v/>
      </c>
      <c r="L289" s="8">
        <f>IF(J289=0,"",K289*5/J289)</f>
        <v/>
      </c>
      <c r="M289" s="8">
        <f>SUMPRODUCT($E$1:$I$1,E289:I289)</f>
        <v/>
      </c>
    </row>
    <row r="290">
      <c r="A290" s="4" t="n">
        <v>288</v>
      </c>
      <c r="B290" s="4" t="inlineStr">
        <is>
          <t>EQT</t>
        </is>
      </c>
      <c r="C290" s="4" t="inlineStr">
        <is>
          <t>EQT Corporation</t>
        </is>
      </c>
      <c r="D290" s="4" t="inlineStr">
        <is>
          <t>US</t>
        </is>
      </c>
      <c r="E290" s="5" t="n">
        <v>10</v>
      </c>
      <c r="F290" s="5" t="n">
        <v>1</v>
      </c>
      <c r="G290" s="5" t="n">
        <v>5</v>
      </c>
      <c r="H290" s="5" t="n">
        <v>1</v>
      </c>
      <c r="I290" s="5" t="n"/>
      <c r="J290" s="6">
        <f>COUNT(E290:I290)</f>
        <v/>
      </c>
      <c r="K290" s="7">
        <f>SUM(E290:I290)</f>
        <v/>
      </c>
      <c r="L290" s="8">
        <f>IF(J290=0,"",K290*5/J290)</f>
        <v/>
      </c>
      <c r="M290" s="8">
        <f>SUMPRODUCT($E$1:$I$1,E290:I290)</f>
        <v/>
      </c>
    </row>
    <row r="291">
      <c r="A291" s="4" t="n">
        <v>289</v>
      </c>
      <c r="B291" s="4" t="inlineStr">
        <is>
          <t>EQIX</t>
        </is>
      </c>
      <c r="C291" s="4" t="inlineStr">
        <is>
          <t>Equinix</t>
        </is>
      </c>
      <c r="D291" s="4" t="inlineStr">
        <is>
          <t>US</t>
        </is>
      </c>
      <c r="E291" s="5" t="n">
        <v>2</v>
      </c>
      <c r="F291" s="5" t="n">
        <v>6</v>
      </c>
      <c r="G291" s="5" t="n">
        <v>3</v>
      </c>
      <c r="H291" s="5" t="n">
        <v>6</v>
      </c>
      <c r="I291" s="5" t="n"/>
      <c r="J291" s="6">
        <f>COUNT(E291:I291)</f>
        <v/>
      </c>
      <c r="K291" s="7">
        <f>SUM(E291:I291)</f>
        <v/>
      </c>
      <c r="L291" s="8">
        <f>IF(J291=0,"",K291*5/J291)</f>
        <v/>
      </c>
      <c r="M291" s="8">
        <f>SUMPRODUCT($E$1:$I$1,E291:I291)</f>
        <v/>
      </c>
    </row>
    <row r="292">
      <c r="A292" s="4" t="n">
        <v>290</v>
      </c>
      <c r="B292" s="4" t="inlineStr">
        <is>
          <t>DVN</t>
        </is>
      </c>
      <c r="C292" s="4" t="inlineStr">
        <is>
          <t>Devon Energy</t>
        </is>
      </c>
      <c r="D292" s="4" t="inlineStr">
        <is>
          <t>US</t>
        </is>
      </c>
      <c r="E292" s="5" t="n">
        <v>9</v>
      </c>
      <c r="F292" s="5" t="n">
        <v>2</v>
      </c>
      <c r="G292" s="5" t="n">
        <v>5</v>
      </c>
      <c r="H292" s="5" t="n">
        <v>1</v>
      </c>
      <c r="I292" s="5" t="n"/>
      <c r="J292" s="6">
        <f>COUNT(E292:I292)</f>
        <v/>
      </c>
      <c r="K292" s="7">
        <f>SUM(E292:I292)</f>
        <v/>
      </c>
      <c r="L292" s="8">
        <f>IF(J292=0,"",K292*5/J292)</f>
        <v/>
      </c>
      <c r="M292" s="8">
        <f>SUMPRODUCT($E$1:$I$1,E292:I292)</f>
        <v/>
      </c>
    </row>
    <row r="293">
      <c r="A293" s="4" t="n">
        <v>291</v>
      </c>
      <c r="B293" s="4" t="inlineStr">
        <is>
          <t>MO</t>
        </is>
      </c>
      <c r="C293" s="4" t="inlineStr">
        <is>
          <t>Altria</t>
        </is>
      </c>
      <c r="D293" s="4" t="inlineStr">
        <is>
          <t>US</t>
        </is>
      </c>
      <c r="E293" s="5" t="n">
        <v>9</v>
      </c>
      <c r="F293" s="5" t="n">
        <v>2</v>
      </c>
      <c r="G293" s="5" t="n"/>
      <c r="H293" s="5" t="n">
        <v>6</v>
      </c>
      <c r="I293" s="5" t="n"/>
      <c r="J293" s="6">
        <f>COUNT(E293:I293)</f>
        <v/>
      </c>
      <c r="K293" s="7">
        <f>SUM(E293:I293)</f>
        <v/>
      </c>
      <c r="L293" s="8">
        <f>IF(J293=0,"",K293*5/J293)</f>
        <v/>
      </c>
      <c r="M293" s="8">
        <f>SUMPRODUCT($E$1:$I$1,E293:I293)</f>
        <v/>
      </c>
    </row>
    <row r="294">
      <c r="A294" s="4" t="n">
        <v>292</v>
      </c>
      <c r="B294" s="4" t="inlineStr">
        <is>
          <t>MDLZ</t>
        </is>
      </c>
      <c r="C294" s="4" t="inlineStr">
        <is>
          <t>Mondelez International</t>
        </is>
      </c>
      <c r="D294" s="4" t="inlineStr">
        <is>
          <t>US</t>
        </is>
      </c>
      <c r="E294" s="5" t="n">
        <v>5</v>
      </c>
      <c r="F294" s="5" t="n">
        <v>2</v>
      </c>
      <c r="G294" s="5" t="n">
        <v>3</v>
      </c>
      <c r="H294" s="5" t="n">
        <v>7</v>
      </c>
      <c r="I294" s="5" t="n"/>
      <c r="J294" s="6">
        <f>COUNT(E294:I294)</f>
        <v/>
      </c>
      <c r="K294" s="7">
        <f>SUM(E294:I294)</f>
        <v/>
      </c>
      <c r="L294" s="8">
        <f>IF(J294=0,"",K294*5/J294)</f>
        <v/>
      </c>
      <c r="M294" s="8">
        <f>SUMPRODUCT($E$1:$I$1,E294:I294)</f>
        <v/>
      </c>
    </row>
    <row r="295">
      <c r="A295" s="4" t="n">
        <v>293</v>
      </c>
      <c r="B295" s="4" t="inlineStr">
        <is>
          <t>MET</t>
        </is>
      </c>
      <c r="C295" s="4" t="inlineStr">
        <is>
          <t>MetLife</t>
        </is>
      </c>
      <c r="D295" s="4" t="inlineStr">
        <is>
          <t>US</t>
        </is>
      </c>
      <c r="E295" s="5" t="n">
        <v>8</v>
      </c>
      <c r="F295" s="5" t="n">
        <v>2</v>
      </c>
      <c r="G295" s="5" t="n">
        <v>4</v>
      </c>
      <c r="H295" s="5" t="n">
        <v>3</v>
      </c>
      <c r="I295" s="5" t="n"/>
      <c r="J295" s="6">
        <f>COUNT(E295:I295)</f>
        <v/>
      </c>
      <c r="K295" s="7">
        <f>SUM(E295:I295)</f>
        <v/>
      </c>
      <c r="L295" s="8">
        <f>IF(J295=0,"",K295*5/J295)</f>
        <v/>
      </c>
      <c r="M295" s="8">
        <f>SUMPRODUCT($E$1:$I$1,E295:I295)</f>
        <v/>
      </c>
    </row>
    <row r="296">
      <c r="A296" s="4" t="n">
        <v>294</v>
      </c>
      <c r="B296" s="4" t="inlineStr">
        <is>
          <t>LOW</t>
        </is>
      </c>
      <c r="C296" s="4" t="inlineStr">
        <is>
          <t>Lowe's</t>
        </is>
      </c>
      <c r="D296" s="4" t="inlineStr">
        <is>
          <t>US</t>
        </is>
      </c>
      <c r="E296" s="5" t="n">
        <v>7</v>
      </c>
      <c r="F296" s="5" t="n">
        <v>7</v>
      </c>
      <c r="G296" s="5" t="n"/>
      <c r="H296" s="5" t="n">
        <v>3</v>
      </c>
      <c r="I296" s="5" t="n"/>
      <c r="J296" s="6">
        <f>COUNT(E296:I296)</f>
        <v/>
      </c>
      <c r="K296" s="7">
        <f>SUM(E296:I296)</f>
        <v/>
      </c>
      <c r="L296" s="8">
        <f>IF(J296=0,"",K296*5/J296)</f>
        <v/>
      </c>
      <c r="M296" s="8">
        <f>SUMPRODUCT($E$1:$I$1,E296:I296)</f>
        <v/>
      </c>
    </row>
    <row r="297">
      <c r="A297" s="4" t="n">
        <v>295</v>
      </c>
      <c r="B297" s="4" t="inlineStr">
        <is>
          <t>MAA</t>
        </is>
      </c>
      <c r="C297" s="4" t="inlineStr">
        <is>
          <t>Mid-America Apartment Communities</t>
        </is>
      </c>
      <c r="D297" s="4" t="inlineStr">
        <is>
          <t>US</t>
        </is>
      </c>
      <c r="E297" s="5" t="n">
        <v>4</v>
      </c>
      <c r="F297" s="5" t="n">
        <v>2</v>
      </c>
      <c r="G297" s="5" t="n">
        <v>2</v>
      </c>
      <c r="H297" s="5" t="n">
        <v>9</v>
      </c>
      <c r="I297" s="5" t="n"/>
      <c r="J297" s="6">
        <f>COUNT(E297:I297)</f>
        <v/>
      </c>
      <c r="K297" s="7">
        <f>SUM(E297:I297)</f>
        <v/>
      </c>
      <c r="L297" s="8">
        <f>IF(J297=0,"",K297*5/J297)</f>
        <v/>
      </c>
      <c r="M297" s="8">
        <f>SUMPRODUCT($E$1:$I$1,E297:I297)</f>
        <v/>
      </c>
    </row>
    <row r="298">
      <c r="A298" s="4" t="n">
        <v>296</v>
      </c>
      <c r="B298" s="4" t="inlineStr">
        <is>
          <t>LUV</t>
        </is>
      </c>
      <c r="C298" s="4" t="inlineStr">
        <is>
          <t>Southwest Airlines</t>
        </is>
      </c>
      <c r="D298" s="4" t="inlineStr">
        <is>
          <t>US</t>
        </is>
      </c>
      <c r="E298" s="5" t="n">
        <v>4</v>
      </c>
      <c r="F298" s="5" t="n">
        <v>6</v>
      </c>
      <c r="G298" s="5" t="n">
        <v>4</v>
      </c>
      <c r="H298" s="5" t="n">
        <v>3</v>
      </c>
      <c r="I298" s="5" t="n"/>
      <c r="J298" s="6">
        <f>COUNT(E298:I298)</f>
        <v/>
      </c>
      <c r="K298" s="7">
        <f>SUM(E298:I298)</f>
        <v/>
      </c>
      <c r="L298" s="8">
        <f>IF(J298=0,"",K298*5/J298)</f>
        <v/>
      </c>
      <c r="M298" s="8">
        <f>SUMPRODUCT($E$1:$I$1,E298:I298)</f>
        <v/>
      </c>
    </row>
    <row r="299">
      <c r="A299" s="4" t="n">
        <v>297</v>
      </c>
      <c r="B299" s="4" t="inlineStr">
        <is>
          <t>HLT</t>
        </is>
      </c>
      <c r="C299" s="4" t="inlineStr">
        <is>
          <t>Hilton Worldwide</t>
        </is>
      </c>
      <c r="D299" s="4" t="inlineStr">
        <is>
          <t>US</t>
        </is>
      </c>
      <c r="E299" s="5" t="n">
        <v>1</v>
      </c>
      <c r="F299" s="5" t="n">
        <v>9</v>
      </c>
      <c r="G299" s="5" t="n"/>
      <c r="H299" s="5" t="n">
        <v>7</v>
      </c>
      <c r="I299" s="5" t="n"/>
      <c r="J299" s="6">
        <f>COUNT(E299:I299)</f>
        <v/>
      </c>
      <c r="K299" s="7">
        <f>SUM(E299:I299)</f>
        <v/>
      </c>
      <c r="L299" s="8">
        <f>IF(J299=0,"",K299*5/J299)</f>
        <v/>
      </c>
      <c r="M299" s="8">
        <f>SUMPRODUCT($E$1:$I$1,E299:I299)</f>
        <v/>
      </c>
    </row>
    <row r="300">
      <c r="A300" s="4" t="n">
        <v>298</v>
      </c>
      <c r="B300" s="4" t="inlineStr">
        <is>
          <t>KMI</t>
        </is>
      </c>
      <c r="C300" s="4" t="inlineStr">
        <is>
          <t>Kinder Morgan</t>
        </is>
      </c>
      <c r="D300" s="4" t="inlineStr">
        <is>
          <t>US</t>
        </is>
      </c>
      <c r="E300" s="5" t="n">
        <v>7</v>
      </c>
      <c r="F300" s="5" t="n">
        <v>1</v>
      </c>
      <c r="G300" s="5" t="n">
        <v>4</v>
      </c>
      <c r="H300" s="5" t="n">
        <v>5</v>
      </c>
      <c r="I300" s="5" t="n"/>
      <c r="J300" s="6">
        <f>COUNT(E300:I300)</f>
        <v/>
      </c>
      <c r="K300" s="7">
        <f>SUM(E300:I300)</f>
        <v/>
      </c>
      <c r="L300" s="8">
        <f>IF(J300=0,"",K300*5/J300)</f>
        <v/>
      </c>
      <c r="M300" s="8">
        <f>SUMPRODUCT($E$1:$I$1,E300:I300)</f>
        <v/>
      </c>
    </row>
    <row r="301">
      <c r="A301" s="4" t="n">
        <v>299</v>
      </c>
      <c r="B301" s="4" t="inlineStr">
        <is>
          <t>TGT</t>
        </is>
      </c>
      <c r="C301" s="4" t="inlineStr">
        <is>
          <t>Target Corporation</t>
        </is>
      </c>
      <c r="D301" s="4" t="inlineStr">
        <is>
          <t>US</t>
        </is>
      </c>
      <c r="E301" s="5" t="n">
        <v>6</v>
      </c>
      <c r="F301" s="5" t="n">
        <v>3</v>
      </c>
      <c r="G301" s="5" t="n">
        <v>7</v>
      </c>
      <c r="H301" s="5" t="n">
        <v>1</v>
      </c>
      <c r="I301" s="5" t="n"/>
      <c r="J301" s="6">
        <f>COUNT(E301:I301)</f>
        <v/>
      </c>
      <c r="K301" s="7">
        <f>SUM(E301:I301)</f>
        <v/>
      </c>
      <c r="L301" s="8">
        <f>IF(J301=0,"",K301*5/J301)</f>
        <v/>
      </c>
      <c r="M301" s="8">
        <f>SUMPRODUCT($E$1:$I$1,E301:I301)</f>
        <v/>
      </c>
    </row>
    <row r="302">
      <c r="A302" s="4" t="n">
        <v>300</v>
      </c>
      <c r="B302" s="4" t="inlineStr">
        <is>
          <t>BXP</t>
        </is>
      </c>
      <c r="C302" s="4" t="inlineStr">
        <is>
          <t>BXP, Inc.</t>
        </is>
      </c>
      <c r="D302" s="4" t="inlineStr">
        <is>
          <t>US</t>
        </is>
      </c>
      <c r="E302" s="5" t="n">
        <v>5</v>
      </c>
      <c r="F302" s="5" t="n">
        <v>2</v>
      </c>
      <c r="G302" s="5" t="n">
        <v>2</v>
      </c>
      <c r="H302" s="5" t="n">
        <v>8</v>
      </c>
      <c r="I302" s="5" t="n"/>
      <c r="J302" s="6">
        <f>COUNT(E302:I302)</f>
        <v/>
      </c>
      <c r="K302" s="7">
        <f>SUM(E302:I302)</f>
        <v/>
      </c>
      <c r="L302" s="8">
        <f>IF(J302=0,"",K302*5/J302)</f>
        <v/>
      </c>
      <c r="M302" s="8">
        <f>SUMPRODUCT($E$1:$I$1,E302:I302)</f>
        <v/>
      </c>
    </row>
    <row r="303">
      <c r="A303" s="4" t="n">
        <v>301</v>
      </c>
      <c r="B303" s="4" t="inlineStr">
        <is>
          <t>REGN</t>
        </is>
      </c>
      <c r="C303" s="4" t="inlineStr">
        <is>
          <t>Regeneron Pharmaceuticals</t>
        </is>
      </c>
      <c r="D303" s="4" t="inlineStr">
        <is>
          <t>US</t>
        </is>
      </c>
      <c r="E303" s="5" t="n">
        <v>8</v>
      </c>
      <c r="F303" s="5" t="n">
        <v>3</v>
      </c>
      <c r="G303" s="5" t="n">
        <v>5</v>
      </c>
      <c r="H303" s="5" t="n">
        <v>1</v>
      </c>
      <c r="I303" s="5" t="n"/>
      <c r="J303" s="6">
        <f>COUNT(E303:I303)</f>
        <v/>
      </c>
      <c r="K303" s="7">
        <f>SUM(E303:I303)</f>
        <v/>
      </c>
      <c r="L303" s="8">
        <f>IF(J303=0,"",K303*5/J303)</f>
        <v/>
      </c>
      <c r="M303" s="8">
        <f>SUMPRODUCT($E$1:$I$1,E303:I303)</f>
        <v/>
      </c>
    </row>
    <row r="304">
      <c r="A304" s="4" t="n">
        <v>302</v>
      </c>
      <c r="B304" s="4" t="inlineStr">
        <is>
          <t>NUE</t>
        </is>
      </c>
      <c r="C304" s="4" t="inlineStr">
        <is>
          <t>Nucor</t>
        </is>
      </c>
      <c r="D304" s="4" t="inlineStr">
        <is>
          <t>US</t>
        </is>
      </c>
      <c r="E304" s="5" t="n">
        <v>6</v>
      </c>
      <c r="F304" s="5" t="n">
        <v>5</v>
      </c>
      <c r="G304" s="5" t="n">
        <v>4</v>
      </c>
      <c r="H304" s="5" t="n">
        <v>2</v>
      </c>
      <c r="I304" s="5" t="n"/>
      <c r="J304" s="6">
        <f>COUNT(E304:I304)</f>
        <v/>
      </c>
      <c r="K304" s="7">
        <f>SUM(E304:I304)</f>
        <v/>
      </c>
      <c r="L304" s="8">
        <f>IF(J304=0,"",K304*5/J304)</f>
        <v/>
      </c>
      <c r="M304" s="8">
        <f>SUMPRODUCT($E$1:$I$1,E304:I304)</f>
        <v/>
      </c>
    </row>
    <row r="305">
      <c r="A305" s="4" t="n">
        <v>303</v>
      </c>
      <c r="B305" s="4" t="inlineStr">
        <is>
          <t>PCAR</t>
        </is>
      </c>
      <c r="C305" s="4" t="inlineStr">
        <is>
          <t>Paccar</t>
        </is>
      </c>
      <c r="D305" s="4" t="inlineStr">
        <is>
          <t>US</t>
        </is>
      </c>
      <c r="E305" s="5" t="n">
        <v>5</v>
      </c>
      <c r="F305" s="5" t="n">
        <v>4</v>
      </c>
      <c r="G305" s="5" t="n">
        <v>4</v>
      </c>
      <c r="H305" s="5" t="n">
        <v>4</v>
      </c>
      <c r="I305" s="5" t="n"/>
      <c r="J305" s="6">
        <f>COUNT(E305:I305)</f>
        <v/>
      </c>
      <c r="K305" s="7">
        <f>SUM(E305:I305)</f>
        <v/>
      </c>
      <c r="L305" s="8">
        <f>IF(J305=0,"",K305*5/J305)</f>
        <v/>
      </c>
      <c r="M305" s="8">
        <f>SUMPRODUCT($E$1:$I$1,E305:I305)</f>
        <v/>
      </c>
    </row>
    <row r="306">
      <c r="A306" s="4" t="n">
        <v>304</v>
      </c>
      <c r="B306" s="4" t="inlineStr">
        <is>
          <t>PCG</t>
        </is>
      </c>
      <c r="C306" s="4" t="inlineStr">
        <is>
          <t>PG&amp;E Corporation</t>
        </is>
      </c>
      <c r="D306" s="4" t="inlineStr">
        <is>
          <t>US</t>
        </is>
      </c>
      <c r="E306" s="5" t="n">
        <v>10</v>
      </c>
      <c r="F306" s="5" t="n">
        <v>1</v>
      </c>
      <c r="G306" s="5" t="n">
        <v>3</v>
      </c>
      <c r="H306" s="5" t="n">
        <v>2</v>
      </c>
      <c r="I306" s="5" t="n"/>
      <c r="J306" s="6">
        <f>COUNT(E306:I306)</f>
        <v/>
      </c>
      <c r="K306" s="7">
        <f>SUM(E306:I306)</f>
        <v/>
      </c>
      <c r="L306" s="8">
        <f>IF(J306=0,"",K306*5/J306)</f>
        <v/>
      </c>
      <c r="M306" s="8">
        <f>SUMPRODUCT($E$1:$I$1,E306:I306)</f>
        <v/>
      </c>
    </row>
    <row r="307">
      <c r="A307" s="4" t="n">
        <v>305</v>
      </c>
      <c r="B307" s="4" t="inlineStr">
        <is>
          <t>COO</t>
        </is>
      </c>
      <c r="C307" s="4" t="inlineStr">
        <is>
          <t>Cooper Companies (The)</t>
        </is>
      </c>
      <c r="D307" s="4" t="inlineStr">
        <is>
          <t>US</t>
        </is>
      </c>
      <c r="E307" s="5" t="n">
        <v>5</v>
      </c>
      <c r="F307" s="5" t="n">
        <v>6</v>
      </c>
      <c r="G307" s="5" t="n">
        <v>1</v>
      </c>
      <c r="H307" s="5" t="n">
        <v>4</v>
      </c>
      <c r="I307" s="5" t="n"/>
      <c r="J307" s="6">
        <f>COUNT(E307:I307)</f>
        <v/>
      </c>
      <c r="K307" s="7">
        <f>SUM(E307:I307)</f>
        <v/>
      </c>
      <c r="L307" s="8">
        <f>IF(J307=0,"",K307*5/J307)</f>
        <v/>
      </c>
      <c r="M307" s="8">
        <f>SUMPRODUCT($E$1:$I$1,E307:I307)</f>
        <v/>
      </c>
    </row>
    <row r="308">
      <c r="A308" s="4" t="n">
        <v>306</v>
      </c>
      <c r="B308" s="4" t="inlineStr">
        <is>
          <t>REG</t>
        </is>
      </c>
      <c r="C308" s="4" t="inlineStr">
        <is>
          <t>Regency Centers</t>
        </is>
      </c>
      <c r="D308" s="4" t="inlineStr">
        <is>
          <t>US</t>
        </is>
      </c>
      <c r="E308" s="5" t="n">
        <v>6</v>
      </c>
      <c r="F308" s="5" t="n">
        <v>2</v>
      </c>
      <c r="G308" s="5" t="n">
        <v>3</v>
      </c>
      <c r="H308" s="5" t="n">
        <v>5</v>
      </c>
      <c r="I308" s="5" t="n"/>
      <c r="J308" s="6">
        <f>COUNT(E308:I308)</f>
        <v/>
      </c>
      <c r="K308" s="7">
        <f>SUM(E308:I308)</f>
        <v/>
      </c>
      <c r="L308" s="8">
        <f>IF(J308=0,"",K308*5/J308)</f>
        <v/>
      </c>
      <c r="M308" s="8">
        <f>SUMPRODUCT($E$1:$I$1,E308:I308)</f>
        <v/>
      </c>
    </row>
    <row r="309">
      <c r="A309" s="4" t="n">
        <v>307</v>
      </c>
      <c r="B309" s="4" t="inlineStr">
        <is>
          <t>ULTA</t>
        </is>
      </c>
      <c r="C309" s="4" t="inlineStr">
        <is>
          <t>Ulta Beauty</t>
        </is>
      </c>
      <c r="D309" s="4" t="inlineStr">
        <is>
          <t>US</t>
        </is>
      </c>
      <c r="E309" s="5" t="n">
        <v>5</v>
      </c>
      <c r="F309" s="5" t="n">
        <v>1</v>
      </c>
      <c r="G309" s="5" t="n">
        <v>9</v>
      </c>
      <c r="H309" s="5" t="n">
        <v>1</v>
      </c>
      <c r="I309" s="5" t="n"/>
      <c r="J309" s="6">
        <f>COUNT(E309:I309)</f>
        <v/>
      </c>
      <c r="K309" s="7">
        <f>SUM(E309:I309)</f>
        <v/>
      </c>
      <c r="L309" s="8">
        <f>IF(J309=0,"",K309*5/J309)</f>
        <v/>
      </c>
      <c r="M309" s="8">
        <f>SUMPRODUCT($E$1:$I$1,E309:I309)</f>
        <v/>
      </c>
    </row>
    <row r="310">
      <c r="A310" s="4" t="n">
        <v>308</v>
      </c>
      <c r="B310" s="4" t="inlineStr">
        <is>
          <t>ADI</t>
        </is>
      </c>
      <c r="C310" s="4" t="inlineStr">
        <is>
          <t>Analog Devices</t>
        </is>
      </c>
      <c r="D310" s="4" t="inlineStr">
        <is>
          <t>US</t>
        </is>
      </c>
      <c r="E310" s="5" t="n">
        <v>3</v>
      </c>
      <c r="F310" s="5" t="n">
        <v>6</v>
      </c>
      <c r="G310" s="5" t="n">
        <v>3</v>
      </c>
      <c r="H310" s="5" t="n">
        <v>4</v>
      </c>
      <c r="I310" s="5" t="n"/>
      <c r="J310" s="6">
        <f>COUNT(E310:I310)</f>
        <v/>
      </c>
      <c r="K310" s="7">
        <f>SUM(E310:I310)</f>
        <v/>
      </c>
      <c r="L310" s="8">
        <f>IF(J310=0,"",K310*5/J310)</f>
        <v/>
      </c>
      <c r="M310" s="8">
        <f>SUMPRODUCT($E$1:$I$1,E310:I310)</f>
        <v/>
      </c>
    </row>
    <row r="311">
      <c r="A311" s="4" t="n">
        <v>309</v>
      </c>
      <c r="B311" s="4" t="inlineStr">
        <is>
          <t>HAL</t>
        </is>
      </c>
      <c r="C311" s="4" t="inlineStr">
        <is>
          <t>Halliburton</t>
        </is>
      </c>
      <c r="D311" s="4" t="inlineStr">
        <is>
          <t>US</t>
        </is>
      </c>
      <c r="E311" s="5" t="n">
        <v>7</v>
      </c>
      <c r="F311" s="5" t="n">
        <v>2</v>
      </c>
      <c r="G311" s="5" t="n">
        <v>5</v>
      </c>
      <c r="H311" s="5" t="n">
        <v>2</v>
      </c>
      <c r="I311" s="5" t="n"/>
      <c r="J311" s="6">
        <f>COUNT(E311:I311)</f>
        <v/>
      </c>
      <c r="K311" s="7">
        <f>SUM(E311:I311)</f>
        <v/>
      </c>
      <c r="L311" s="8">
        <f>IF(J311=0,"",K311*5/J311)</f>
        <v/>
      </c>
      <c r="M311" s="8">
        <f>SUMPRODUCT($E$1:$I$1,E311:I311)</f>
        <v/>
      </c>
    </row>
    <row r="312">
      <c r="A312" s="4" t="n">
        <v>310</v>
      </c>
      <c r="B312" s="4" t="inlineStr">
        <is>
          <t>FE</t>
        </is>
      </c>
      <c r="C312" s="4" t="inlineStr">
        <is>
          <t>FirstEnergy</t>
        </is>
      </c>
      <c r="D312" s="4" t="inlineStr">
        <is>
          <t>US</t>
        </is>
      </c>
      <c r="E312" s="5" t="n">
        <v>6</v>
      </c>
      <c r="F312" s="5" t="n">
        <v>2</v>
      </c>
      <c r="G312" s="5" t="n">
        <v>3</v>
      </c>
      <c r="H312" s="5" t="n">
        <v>5</v>
      </c>
      <c r="I312" s="5" t="n"/>
      <c r="J312" s="6">
        <f>COUNT(E312:I312)</f>
        <v/>
      </c>
      <c r="K312" s="7">
        <f>SUM(E312:I312)</f>
        <v/>
      </c>
      <c r="L312" s="8">
        <f>IF(J312=0,"",K312*5/J312)</f>
        <v/>
      </c>
      <c r="M312" s="8">
        <f>SUMPRODUCT($E$1:$I$1,E312:I312)</f>
        <v/>
      </c>
    </row>
    <row r="313">
      <c r="A313" s="4" t="n">
        <v>311</v>
      </c>
      <c r="B313" s="4" t="inlineStr">
        <is>
          <t>SLB</t>
        </is>
      </c>
      <c r="C313" s="4" t="inlineStr">
        <is>
          <t>Schlumberger</t>
        </is>
      </c>
      <c r="D313" s="4" t="inlineStr">
        <is>
          <t>US</t>
        </is>
      </c>
      <c r="E313" s="5" t="n">
        <v>6</v>
      </c>
      <c r="F313" s="5" t="n">
        <v>1</v>
      </c>
      <c r="G313" s="5" t="n">
        <v>5</v>
      </c>
      <c r="H313" s="5" t="n">
        <v>4</v>
      </c>
      <c r="I313" s="5" t="n"/>
      <c r="J313" s="6">
        <f>COUNT(E313:I313)</f>
        <v/>
      </c>
      <c r="K313" s="7">
        <f>SUM(E313:I313)</f>
        <v/>
      </c>
      <c r="L313" s="8">
        <f>IF(J313=0,"",K313*5/J313)</f>
        <v/>
      </c>
      <c r="M313" s="8">
        <f>SUMPRODUCT($E$1:$I$1,E313:I313)</f>
        <v/>
      </c>
    </row>
    <row r="314">
      <c r="A314" s="4" t="n">
        <v>312</v>
      </c>
      <c r="B314" s="4" t="inlineStr">
        <is>
          <t>HCA</t>
        </is>
      </c>
      <c r="C314" s="4" t="inlineStr">
        <is>
          <t>HCA Healthcare</t>
        </is>
      </c>
      <c r="D314" s="4" t="inlineStr">
        <is>
          <t>US</t>
        </is>
      </c>
      <c r="E314" s="5" t="n">
        <v>9</v>
      </c>
      <c r="F314" s="5" t="n">
        <v>3</v>
      </c>
      <c r="G314" s="5" t="n"/>
      <c r="H314" s="5" t="n">
        <v>4</v>
      </c>
      <c r="I314" s="5" t="n"/>
      <c r="J314" s="6">
        <f>COUNT(E314:I314)</f>
        <v/>
      </c>
      <c r="K314" s="7">
        <f>SUM(E314:I314)</f>
        <v/>
      </c>
      <c r="L314" s="8">
        <f>IF(J314=0,"",K314*5/J314)</f>
        <v/>
      </c>
      <c r="M314" s="8">
        <f>SUMPRODUCT($E$1:$I$1,E314:I314)</f>
        <v/>
      </c>
    </row>
    <row r="315">
      <c r="A315" s="4" t="n">
        <v>313</v>
      </c>
      <c r="B315" s="4" t="inlineStr">
        <is>
          <t>COF</t>
        </is>
      </c>
      <c r="C315" s="4" t="inlineStr">
        <is>
          <t>Capital One</t>
        </is>
      </c>
      <c r="D315" s="4" t="inlineStr">
        <is>
          <t>US</t>
        </is>
      </c>
      <c r="E315" s="5" t="n">
        <v>6</v>
      </c>
      <c r="F315" s="5" t="n">
        <v>5</v>
      </c>
      <c r="G315" s="5" t="n">
        <v>1</v>
      </c>
      <c r="H315" s="5" t="n">
        <v>4</v>
      </c>
      <c r="I315" s="5" t="n"/>
      <c r="J315" s="6">
        <f>COUNT(E315:I315)</f>
        <v/>
      </c>
      <c r="K315" s="7">
        <f>SUM(E315:I315)</f>
        <v/>
      </c>
      <c r="L315" s="8">
        <f>IF(J315=0,"",K315*5/J315)</f>
        <v/>
      </c>
      <c r="M315" s="8">
        <f>SUMPRODUCT($E$1:$I$1,E315:I315)</f>
        <v/>
      </c>
    </row>
    <row r="316">
      <c r="A316" s="4" t="n">
        <v>314</v>
      </c>
      <c r="B316" s="4" t="inlineStr">
        <is>
          <t>PM</t>
        </is>
      </c>
      <c r="C316" s="4" t="inlineStr">
        <is>
          <t>Philip Morris International</t>
        </is>
      </c>
      <c r="D316" s="4" t="inlineStr">
        <is>
          <t>US</t>
        </is>
      </c>
      <c r="E316" s="5" t="n">
        <v>5</v>
      </c>
      <c r="F316" s="5" t="n">
        <v>2</v>
      </c>
      <c r="G316" s="5" t="n"/>
      <c r="H316" s="5" t="n">
        <v>8</v>
      </c>
      <c r="I316" s="5" t="n"/>
      <c r="J316" s="6">
        <f>COUNT(E316:I316)</f>
        <v/>
      </c>
      <c r="K316" s="7">
        <f>SUM(E316:I316)</f>
        <v/>
      </c>
      <c r="L316" s="8">
        <f>IF(J316=0,"",K316*5/J316)</f>
        <v/>
      </c>
      <c r="M316" s="8">
        <f>SUMPRODUCT($E$1:$I$1,E316:I316)</f>
        <v/>
      </c>
    </row>
    <row r="317">
      <c r="A317" s="4" t="n">
        <v>315</v>
      </c>
      <c r="B317" s="4" t="inlineStr">
        <is>
          <t>INTC</t>
        </is>
      </c>
      <c r="C317" s="4" t="inlineStr">
        <is>
          <t>Intel</t>
        </is>
      </c>
      <c r="D317" s="4" t="inlineStr">
        <is>
          <t>US</t>
        </is>
      </c>
      <c r="E317" s="5" t="n">
        <v>4</v>
      </c>
      <c r="F317" s="5" t="n">
        <v>6</v>
      </c>
      <c r="G317" s="5" t="n">
        <v>1</v>
      </c>
      <c r="H317" s="5" t="n">
        <v>4</v>
      </c>
      <c r="I317" s="5" t="n"/>
      <c r="J317" s="6">
        <f>COUNT(E317:I317)</f>
        <v/>
      </c>
      <c r="K317" s="7">
        <f>SUM(E317:I317)</f>
        <v/>
      </c>
      <c r="L317" s="8">
        <f>IF(J317=0,"",K317*5/J317)</f>
        <v/>
      </c>
      <c r="M317" s="8">
        <f>SUMPRODUCT($E$1:$I$1,E317:I317)</f>
        <v/>
      </c>
    </row>
    <row r="318">
      <c r="A318" s="4" t="n">
        <v>316</v>
      </c>
      <c r="B318" s="4" t="inlineStr">
        <is>
          <t>NRG</t>
        </is>
      </c>
      <c r="C318" s="4" t="inlineStr">
        <is>
          <t>NRG Energy</t>
        </is>
      </c>
      <c r="D318" s="4" t="inlineStr">
        <is>
          <t>US</t>
        </is>
      </c>
      <c r="E318" s="5" t="n">
        <v>2</v>
      </c>
      <c r="F318" s="5" t="n">
        <v>10</v>
      </c>
      <c r="G318" s="5" t="n">
        <v>2</v>
      </c>
      <c r="H318" s="5" t="n">
        <v>1</v>
      </c>
      <c r="I318" s="5" t="n"/>
      <c r="J318" s="6">
        <f>COUNT(E318:I318)</f>
        <v/>
      </c>
      <c r="K318" s="7">
        <f>SUM(E318:I318)</f>
        <v/>
      </c>
      <c r="L318" s="8">
        <f>IF(J318=0,"",K318*5/J318)</f>
        <v/>
      </c>
      <c r="M318" s="8">
        <f>SUMPRODUCT($E$1:$I$1,E318:I318)</f>
        <v/>
      </c>
    </row>
    <row r="319">
      <c r="A319" s="4" t="n">
        <v>317</v>
      </c>
      <c r="B319" s="4" t="inlineStr">
        <is>
          <t>OXY</t>
        </is>
      </c>
      <c r="C319" s="4" t="inlineStr">
        <is>
          <t>Occidental Petroleum</t>
        </is>
      </c>
      <c r="D319" s="4" t="inlineStr">
        <is>
          <t>US</t>
        </is>
      </c>
      <c r="E319" s="5" t="n">
        <v>5</v>
      </c>
      <c r="F319" s="5" t="n">
        <v>4</v>
      </c>
      <c r="G319" s="5" t="n">
        <v>1</v>
      </c>
      <c r="H319" s="5" t="n">
        <v>5</v>
      </c>
      <c r="I319" s="5" t="n"/>
      <c r="J319" s="6">
        <f>COUNT(E319:I319)</f>
        <v/>
      </c>
      <c r="K319" s="7">
        <f>SUM(E319:I319)</f>
        <v/>
      </c>
      <c r="L319" s="8">
        <f>IF(J319=0,"",K319*5/J319)</f>
        <v/>
      </c>
      <c r="M319" s="8">
        <f>SUMPRODUCT($E$1:$I$1,E319:I319)</f>
        <v/>
      </c>
    </row>
    <row r="320">
      <c r="A320" s="4" t="n">
        <v>318</v>
      </c>
      <c r="B320" s="4" t="inlineStr">
        <is>
          <t>WYNN</t>
        </is>
      </c>
      <c r="C320" s="4" t="inlineStr">
        <is>
          <t>Wynn Resorts</t>
        </is>
      </c>
      <c r="D320" s="4" t="inlineStr">
        <is>
          <t>US</t>
        </is>
      </c>
      <c r="E320" s="5" t="n">
        <v>4</v>
      </c>
      <c r="F320" s="5" t="n">
        <v>10</v>
      </c>
      <c r="G320" s="5" t="n"/>
      <c r="H320" s="5" t="n">
        <v>1</v>
      </c>
      <c r="I320" s="5" t="n"/>
      <c r="J320" s="6">
        <f>COUNT(E320:I320)</f>
        <v/>
      </c>
      <c r="K320" s="7">
        <f>SUM(E320:I320)</f>
        <v/>
      </c>
      <c r="L320" s="8">
        <f>IF(J320=0,"",K320*5/J320)</f>
        <v/>
      </c>
      <c r="M320" s="8">
        <f>SUMPRODUCT($E$1:$I$1,E320:I320)</f>
        <v/>
      </c>
    </row>
    <row r="321">
      <c r="A321" s="4" t="n">
        <v>319</v>
      </c>
      <c r="B321" s="4" t="inlineStr">
        <is>
          <t>IR</t>
        </is>
      </c>
      <c r="C321" s="4" t="inlineStr">
        <is>
          <t>Ingersoll Rand</t>
        </is>
      </c>
      <c r="D321" s="4" t="inlineStr">
        <is>
          <t>US</t>
        </is>
      </c>
      <c r="E321" s="5" t="n">
        <v>3</v>
      </c>
      <c r="F321" s="5" t="n">
        <v>4</v>
      </c>
      <c r="G321" s="5" t="n">
        <v>2</v>
      </c>
      <c r="H321" s="5" t="n">
        <v>6</v>
      </c>
      <c r="I321" s="5" t="n"/>
      <c r="J321" s="6">
        <f>COUNT(E321:I321)</f>
        <v/>
      </c>
      <c r="K321" s="7">
        <f>SUM(E321:I321)</f>
        <v/>
      </c>
      <c r="L321" s="8">
        <f>IF(J321=0,"",K321*5/J321)</f>
        <v/>
      </c>
      <c r="M321" s="8">
        <f>SUMPRODUCT($E$1:$I$1,E321:I321)</f>
        <v/>
      </c>
    </row>
    <row r="322">
      <c r="A322" s="4" t="n">
        <v>320</v>
      </c>
      <c r="B322" s="4" t="inlineStr">
        <is>
          <t>HRL</t>
        </is>
      </c>
      <c r="C322" s="4" t="inlineStr">
        <is>
          <t>Hormel Foods</t>
        </is>
      </c>
      <c r="D322" s="4" t="inlineStr">
        <is>
          <t>US</t>
        </is>
      </c>
      <c r="E322" s="5" t="n">
        <v>6</v>
      </c>
      <c r="F322" s="5" t="n">
        <v>2</v>
      </c>
      <c r="G322" s="5" t="n">
        <v>2</v>
      </c>
      <c r="H322" s="5" t="n">
        <v>5</v>
      </c>
      <c r="I322" s="5" t="n"/>
      <c r="J322" s="6">
        <f>COUNT(E322:I322)</f>
        <v/>
      </c>
      <c r="K322" s="7">
        <f>SUM(E322:I322)</f>
        <v/>
      </c>
      <c r="L322" s="8">
        <f>IF(J322=0,"",K322*5/J322)</f>
        <v/>
      </c>
      <c r="M322" s="8">
        <f>SUMPRODUCT($E$1:$I$1,E322:I322)</f>
        <v/>
      </c>
    </row>
    <row r="323">
      <c r="A323" s="4" t="n">
        <v>321</v>
      </c>
      <c r="B323" s="4" t="inlineStr">
        <is>
          <t>FFIV</t>
        </is>
      </c>
      <c r="C323" s="4" t="inlineStr">
        <is>
          <t>F5, Inc.</t>
        </is>
      </c>
      <c r="D323" s="4" t="inlineStr">
        <is>
          <t>US</t>
        </is>
      </c>
      <c r="E323" s="5" t="n">
        <v>3</v>
      </c>
      <c r="F323" s="5" t="n">
        <v>2</v>
      </c>
      <c r="G323" s="5" t="n">
        <v>7</v>
      </c>
      <c r="H323" s="5" t="n">
        <v>3</v>
      </c>
      <c r="I323" s="5" t="n"/>
      <c r="J323" s="6">
        <f>COUNT(E323:I323)</f>
        <v/>
      </c>
      <c r="K323" s="7">
        <f>SUM(E323:I323)</f>
        <v/>
      </c>
      <c r="L323" s="8">
        <f>IF(J323=0,"",K323*5/J323)</f>
        <v/>
      </c>
      <c r="M323" s="8">
        <f>SUMPRODUCT($E$1:$I$1,E323:I323)</f>
        <v/>
      </c>
    </row>
    <row r="324">
      <c r="A324" s="4" t="n">
        <v>322</v>
      </c>
      <c r="B324" s="4" t="inlineStr">
        <is>
          <t>WDC</t>
        </is>
      </c>
      <c r="C324" s="4" t="inlineStr">
        <is>
          <t>Western Digital</t>
        </is>
      </c>
      <c r="D324" s="4" t="inlineStr">
        <is>
          <t>US</t>
        </is>
      </c>
      <c r="E324" s="5" t="n">
        <v>2</v>
      </c>
      <c r="F324" s="5" t="n">
        <v>2</v>
      </c>
      <c r="G324" s="5" t="n">
        <v>10</v>
      </c>
      <c r="H324" s="5" t="n">
        <v>1</v>
      </c>
      <c r="I324" s="5" t="n"/>
      <c r="J324" s="6">
        <f>COUNT(E324:I324)</f>
        <v/>
      </c>
      <c r="K324" s="7">
        <f>SUM(E324:I324)</f>
        <v/>
      </c>
      <c r="L324" s="8">
        <f>IF(J324=0,"",K324*5/J324)</f>
        <v/>
      </c>
      <c r="M324" s="8">
        <f>SUMPRODUCT($E$1:$I$1,E324:I324)</f>
        <v/>
      </c>
    </row>
    <row r="325">
      <c r="A325" s="4" t="n">
        <v>323</v>
      </c>
      <c r="B325" s="4" t="inlineStr">
        <is>
          <t>CMG</t>
        </is>
      </c>
      <c r="C325" s="4" t="inlineStr">
        <is>
          <t>Chipotle Mexican Grill</t>
        </is>
      </c>
      <c r="D325" s="4" t="inlineStr">
        <is>
          <t>US</t>
        </is>
      </c>
      <c r="E325" s="5" t="n">
        <v>3</v>
      </c>
      <c r="F325" s="5" t="n">
        <v>1</v>
      </c>
      <c r="G325" s="5" t="n">
        <v>10</v>
      </c>
      <c r="H325" s="5" t="n">
        <v>1</v>
      </c>
      <c r="I325" s="5" t="n"/>
      <c r="J325" s="6">
        <f>COUNT(E325:I325)</f>
        <v/>
      </c>
      <c r="K325" s="7">
        <f>SUM(E325:I325)</f>
        <v/>
      </c>
      <c r="L325" s="8">
        <f>IF(J325=0,"",K325*5/J325)</f>
        <v/>
      </c>
      <c r="M325" s="8">
        <f>SUMPRODUCT($E$1:$I$1,E325:I325)</f>
        <v/>
      </c>
    </row>
    <row r="326">
      <c r="A326" s="4" t="n">
        <v>324</v>
      </c>
      <c r="B326" s="4" t="inlineStr">
        <is>
          <t>ADM</t>
        </is>
      </c>
      <c r="C326" s="4" t="inlineStr">
        <is>
          <t>Archer Daniels Midland</t>
        </is>
      </c>
      <c r="D326" s="4" t="inlineStr">
        <is>
          <t>US</t>
        </is>
      </c>
      <c r="E326" s="5" t="n">
        <v>6</v>
      </c>
      <c r="F326" s="5" t="n">
        <v>1</v>
      </c>
      <c r="G326" s="5" t="n">
        <v>2</v>
      </c>
      <c r="H326" s="5" t="n">
        <v>5</v>
      </c>
      <c r="I326" s="5" t="n"/>
      <c r="J326" s="6">
        <f>COUNT(E326:I326)</f>
        <v/>
      </c>
      <c r="K326" s="7">
        <f>SUM(E326:I326)</f>
        <v/>
      </c>
      <c r="L326" s="8">
        <f>IF(J326=0,"",K326*5/J326)</f>
        <v/>
      </c>
      <c r="M326" s="8">
        <f>SUMPRODUCT($E$1:$I$1,E326:I326)</f>
        <v/>
      </c>
    </row>
    <row r="327">
      <c r="A327" s="4" t="n">
        <v>325</v>
      </c>
      <c r="B327" s="4" t="inlineStr">
        <is>
          <t>GE</t>
        </is>
      </c>
      <c r="C327" s="4" t="inlineStr">
        <is>
          <t>GE Aerospace</t>
        </is>
      </c>
      <c r="D327" s="4" t="inlineStr">
        <is>
          <t>US</t>
        </is>
      </c>
      <c r="E327" s="5" t="n">
        <v>1</v>
      </c>
      <c r="F327" s="5" t="n">
        <v>1</v>
      </c>
      <c r="G327" s="5" t="n">
        <v>9</v>
      </c>
      <c r="H327" s="5" t="n">
        <v>3</v>
      </c>
      <c r="I327" s="5" t="n"/>
      <c r="J327" s="6">
        <f>COUNT(E327:I327)</f>
        <v/>
      </c>
      <c r="K327" s="7">
        <f>SUM(E327:I327)</f>
        <v/>
      </c>
      <c r="L327" s="8">
        <f>IF(J327=0,"",K327*5/J327)</f>
        <v/>
      </c>
      <c r="M327" s="8">
        <f>SUMPRODUCT($E$1:$I$1,E327:I327)</f>
        <v/>
      </c>
    </row>
    <row r="328">
      <c r="A328" s="4" t="n">
        <v>326</v>
      </c>
      <c r="B328" s="4" t="inlineStr">
        <is>
          <t>VMC</t>
        </is>
      </c>
      <c r="C328" s="4" t="inlineStr">
        <is>
          <t>Vulcan Materials Company</t>
        </is>
      </c>
      <c r="D328" s="4" t="inlineStr">
        <is>
          <t>US</t>
        </is>
      </c>
      <c r="E328" s="5" t="n">
        <v>3</v>
      </c>
      <c r="F328" s="5" t="n">
        <v>4</v>
      </c>
      <c r="G328" s="5" t="n">
        <v>5</v>
      </c>
      <c r="H328" s="5" t="n">
        <v>2</v>
      </c>
      <c r="I328" s="5" t="n"/>
      <c r="J328" s="6">
        <f>COUNT(E328:I328)</f>
        <v/>
      </c>
      <c r="K328" s="7">
        <f>SUM(E328:I328)</f>
        <v/>
      </c>
      <c r="L328" s="8">
        <f>IF(J328=0,"",K328*5/J328)</f>
        <v/>
      </c>
      <c r="M328" s="8">
        <f>SUMPRODUCT($E$1:$I$1,E328:I328)</f>
        <v/>
      </c>
    </row>
    <row r="329">
      <c r="A329" s="4" t="n">
        <v>327</v>
      </c>
      <c r="B329" s="4" t="inlineStr">
        <is>
          <t>MCK</t>
        </is>
      </c>
      <c r="C329" s="4" t="inlineStr">
        <is>
          <t>McKesson Corporation</t>
        </is>
      </c>
      <c r="D329" s="4" t="inlineStr">
        <is>
          <t>US</t>
        </is>
      </c>
      <c r="E329" s="5" t="n">
        <v>7</v>
      </c>
      <c r="F329" s="5" t="n">
        <v>5</v>
      </c>
      <c r="G329" s="5" t="n"/>
      <c r="H329" s="5" t="n">
        <v>2</v>
      </c>
      <c r="I329" s="5" t="n"/>
      <c r="J329" s="6">
        <f>COUNT(E329:I329)</f>
        <v/>
      </c>
      <c r="K329" s="7">
        <f>SUM(E329:I329)</f>
        <v/>
      </c>
      <c r="L329" s="8">
        <f>IF(J329=0,"",K329*5/J329)</f>
        <v/>
      </c>
      <c r="M329" s="8">
        <f>SUMPRODUCT($E$1:$I$1,E329:I329)</f>
        <v/>
      </c>
    </row>
    <row r="330">
      <c r="A330" s="4" t="n">
        <v>328</v>
      </c>
      <c r="B330" s="4" t="inlineStr">
        <is>
          <t>ABBV</t>
        </is>
      </c>
      <c r="C330" s="4" t="inlineStr">
        <is>
          <t>AbbVie</t>
        </is>
      </c>
      <c r="D330" s="4" t="inlineStr">
        <is>
          <t>US</t>
        </is>
      </c>
      <c r="E330" s="5" t="n">
        <v>1</v>
      </c>
      <c r="F330" s="5" t="n">
        <v>10</v>
      </c>
      <c r="G330" s="5" t="n"/>
      <c r="H330" s="5" t="n">
        <v>3</v>
      </c>
      <c r="I330" s="5" t="n"/>
      <c r="J330" s="6">
        <f>COUNT(E330:I330)</f>
        <v/>
      </c>
      <c r="K330" s="7">
        <f>SUM(E330:I330)</f>
        <v/>
      </c>
      <c r="L330" s="8">
        <f>IF(J330=0,"",K330*5/J330)</f>
        <v/>
      </c>
      <c r="M330" s="8">
        <f>SUMPRODUCT($E$1:$I$1,E330:I330)</f>
        <v/>
      </c>
    </row>
    <row r="331">
      <c r="A331" s="4" t="n">
        <v>329</v>
      </c>
      <c r="B331" s="4" t="inlineStr">
        <is>
          <t>SWKS</t>
        </is>
      </c>
      <c r="C331" s="4" t="inlineStr">
        <is>
          <t>Skyworks Solutions</t>
        </is>
      </c>
      <c r="D331" s="4" t="inlineStr">
        <is>
          <t>US</t>
        </is>
      </c>
      <c r="E331" s="5" t="n">
        <v>6</v>
      </c>
      <c r="F331" s="5" t="n">
        <v>4</v>
      </c>
      <c r="G331" s="5" t="n">
        <v>2</v>
      </c>
      <c r="H331" s="5" t="n">
        <v>2</v>
      </c>
      <c r="I331" s="5" t="n"/>
      <c r="J331" s="6">
        <f>COUNT(E331:I331)</f>
        <v/>
      </c>
      <c r="K331" s="7">
        <f>SUM(E331:I331)</f>
        <v/>
      </c>
      <c r="L331" s="8">
        <f>IF(J331=0,"",K331*5/J331)</f>
        <v/>
      </c>
      <c r="M331" s="8">
        <f>SUMPRODUCT($E$1:$I$1,E331:I331)</f>
        <v/>
      </c>
    </row>
    <row r="332">
      <c r="A332" s="4" t="n">
        <v>330</v>
      </c>
      <c r="B332" s="4" t="inlineStr">
        <is>
          <t>OMC</t>
        </is>
      </c>
      <c r="C332" s="4" t="inlineStr">
        <is>
          <t>Omnicom Group</t>
        </is>
      </c>
      <c r="D332" s="4" t="inlineStr">
        <is>
          <t>US</t>
        </is>
      </c>
      <c r="E332" s="5" t="n">
        <v>7</v>
      </c>
      <c r="F332" s="5" t="n">
        <v>1</v>
      </c>
      <c r="G332" s="5" t="n">
        <v>1</v>
      </c>
      <c r="H332" s="5" t="n">
        <v>5</v>
      </c>
      <c r="I332" s="5" t="n"/>
      <c r="J332" s="6">
        <f>COUNT(E332:I332)</f>
        <v/>
      </c>
      <c r="K332" s="7">
        <f>SUM(E332:I332)</f>
        <v/>
      </c>
      <c r="L332" s="8">
        <f>IF(J332=0,"",K332*5/J332)</f>
        <v/>
      </c>
      <c r="M332" s="8">
        <f>SUMPRODUCT($E$1:$I$1,E332:I332)</f>
        <v/>
      </c>
    </row>
    <row r="333">
      <c r="A333" s="4" t="n">
        <v>331</v>
      </c>
      <c r="B333" s="4" t="inlineStr">
        <is>
          <t>STX</t>
        </is>
      </c>
      <c r="C333" s="4" t="inlineStr">
        <is>
          <t>Seagate Technology</t>
        </is>
      </c>
      <c r="D333" s="4" t="inlineStr">
        <is>
          <t>US</t>
        </is>
      </c>
      <c r="E333" s="5" t="n">
        <v>1</v>
      </c>
      <c r="F333" s="5" t="n">
        <v>2</v>
      </c>
      <c r="G333" s="5" t="n">
        <v>10</v>
      </c>
      <c r="H333" s="5" t="n">
        <v>1</v>
      </c>
      <c r="I333" s="5" t="n"/>
      <c r="J333" s="6">
        <f>COUNT(E333:I333)</f>
        <v/>
      </c>
      <c r="K333" s="7">
        <f>SUM(E333:I333)</f>
        <v/>
      </c>
      <c r="L333" s="8">
        <f>IF(J333=0,"",K333*5/J333)</f>
        <v/>
      </c>
      <c r="M333" s="8">
        <f>SUMPRODUCT($E$1:$I$1,E333:I333)</f>
        <v/>
      </c>
    </row>
    <row r="334">
      <c r="A334" s="4" t="n">
        <v>332</v>
      </c>
      <c r="B334" s="4" t="inlineStr">
        <is>
          <t>O</t>
        </is>
      </c>
      <c r="C334" s="4" t="inlineStr">
        <is>
          <t>Realty Income</t>
        </is>
      </c>
      <c r="D334" s="4" t="inlineStr">
        <is>
          <t>US</t>
        </is>
      </c>
      <c r="E334" s="5" t="n">
        <v>5</v>
      </c>
      <c r="F334" s="5" t="n">
        <v>1</v>
      </c>
      <c r="G334" s="5" t="n">
        <v>1</v>
      </c>
      <c r="H334" s="5" t="n">
        <v>7</v>
      </c>
      <c r="I334" s="5" t="n"/>
      <c r="J334" s="6">
        <f>COUNT(E334:I334)</f>
        <v/>
      </c>
      <c r="K334" s="7">
        <f>SUM(E334:I334)</f>
        <v/>
      </c>
      <c r="L334" s="8">
        <f>IF(J334=0,"",K334*5/J334)</f>
        <v/>
      </c>
      <c r="M334" s="8">
        <f>SUMPRODUCT($E$1:$I$1,E334:I334)</f>
        <v/>
      </c>
    </row>
    <row r="335">
      <c r="A335" s="4" t="n">
        <v>333</v>
      </c>
      <c r="B335" s="4" t="inlineStr">
        <is>
          <t>QRVO</t>
        </is>
      </c>
      <c r="C335" s="4" t="inlineStr">
        <is>
          <t>Qorvo</t>
        </is>
      </c>
      <c r="D335" s="4" t="inlineStr">
        <is>
          <t>US</t>
        </is>
      </c>
      <c r="E335" s="5" t="n">
        <v>6</v>
      </c>
      <c r="F335" s="5" t="n">
        <v>3</v>
      </c>
      <c r="G335" s="5" t="n">
        <v>3</v>
      </c>
      <c r="H335" s="5" t="n">
        <v>1</v>
      </c>
      <c r="I335" s="5" t="n"/>
      <c r="J335" s="6">
        <f>COUNT(E335:I335)</f>
        <v/>
      </c>
      <c r="K335" s="7">
        <f>SUM(E335:I335)</f>
        <v/>
      </c>
      <c r="L335" s="8">
        <f>IF(J335=0,"",K335*5/J335)</f>
        <v/>
      </c>
      <c r="M335" s="8">
        <f>SUMPRODUCT($E$1:$I$1,E335:I335)</f>
        <v/>
      </c>
    </row>
    <row r="336">
      <c r="A336" s="4" t="n">
        <v>334</v>
      </c>
      <c r="B336" s="4" t="inlineStr">
        <is>
          <t>KMX</t>
        </is>
      </c>
      <c r="C336" s="4" t="inlineStr">
        <is>
          <t>CarMax</t>
        </is>
      </c>
      <c r="D336" s="4" t="inlineStr">
        <is>
          <t>US</t>
        </is>
      </c>
      <c r="E336" s="5" t="n">
        <v>7</v>
      </c>
      <c r="F336" s="5" t="n">
        <v>3</v>
      </c>
      <c r="G336" s="5" t="n">
        <v>1</v>
      </c>
      <c r="H336" s="5" t="n">
        <v>2</v>
      </c>
      <c r="I336" s="5" t="n"/>
      <c r="J336" s="6">
        <f>COUNT(E336:I336)</f>
        <v/>
      </c>
      <c r="K336" s="7">
        <f>SUM(E336:I336)</f>
        <v/>
      </c>
      <c r="L336" s="8">
        <f>IF(J336=0,"",K336*5/J336)</f>
        <v/>
      </c>
      <c r="M336" s="8">
        <f>SUMPRODUCT($E$1:$I$1,E336:I336)</f>
        <v/>
      </c>
    </row>
    <row r="337">
      <c r="A337" s="4" t="n">
        <v>335</v>
      </c>
      <c r="B337" s="4" t="inlineStr">
        <is>
          <t>MRK</t>
        </is>
      </c>
      <c r="C337" s="4" t="inlineStr">
        <is>
          <t>Merck &amp; Co.</t>
        </is>
      </c>
      <c r="D337" s="4" t="inlineStr">
        <is>
          <t>US</t>
        </is>
      </c>
      <c r="E337" s="5" t="n">
        <v>3</v>
      </c>
      <c r="F337" s="5" t="n">
        <v>1</v>
      </c>
      <c r="G337" s="5" t="n">
        <v>7</v>
      </c>
      <c r="H337" s="5" t="n">
        <v>2</v>
      </c>
      <c r="I337" s="5" t="n"/>
      <c r="J337" s="6">
        <f>COUNT(E337:I337)</f>
        <v/>
      </c>
      <c r="K337" s="7">
        <f>SUM(E337:I337)</f>
        <v/>
      </c>
      <c r="L337" s="8">
        <f>IF(J337=0,"",K337*5/J337)</f>
        <v/>
      </c>
      <c r="M337" s="8">
        <f>SUMPRODUCT($E$1:$I$1,E337:I337)</f>
        <v/>
      </c>
    </row>
    <row r="338">
      <c r="A338" s="4" t="n">
        <v>336</v>
      </c>
      <c r="B338" s="4" t="inlineStr">
        <is>
          <t>MCHP</t>
        </is>
      </c>
      <c r="C338" s="4" t="inlineStr">
        <is>
          <t>Microchip Technology</t>
        </is>
      </c>
      <c r="D338" s="4" t="inlineStr">
        <is>
          <t>US</t>
        </is>
      </c>
      <c r="E338" s="5" t="n">
        <v>2</v>
      </c>
      <c r="F338" s="5" t="n">
        <v>8</v>
      </c>
      <c r="G338" s="5" t="n">
        <v>1</v>
      </c>
      <c r="H338" s="5" t="n">
        <v>2</v>
      </c>
      <c r="I338" s="5" t="n"/>
      <c r="J338" s="6">
        <f>COUNT(E338:I338)</f>
        <v/>
      </c>
      <c r="K338" s="7">
        <f>SUM(E338:I338)</f>
        <v/>
      </c>
      <c r="L338" s="8">
        <f>IF(J338=0,"",K338*5/J338)</f>
        <v/>
      </c>
      <c r="M338" s="8">
        <f>SUMPRODUCT($E$1:$I$1,E338:I338)</f>
        <v/>
      </c>
    </row>
    <row r="339">
      <c r="A339" s="4" t="n">
        <v>337</v>
      </c>
      <c r="B339" s="4" t="inlineStr">
        <is>
          <t>HSIC</t>
        </is>
      </c>
      <c r="C339" s="4" t="inlineStr">
        <is>
          <t>Henry Schein</t>
        </is>
      </c>
      <c r="D339" s="4" t="inlineStr">
        <is>
          <t>US</t>
        </is>
      </c>
      <c r="E339" s="5" t="n">
        <v>5</v>
      </c>
      <c r="F339" s="5" t="n">
        <v>1</v>
      </c>
      <c r="G339" s="5" t="n">
        <v>4</v>
      </c>
      <c r="H339" s="5" t="n">
        <v>3</v>
      </c>
      <c r="I339" s="5" t="n"/>
      <c r="J339" s="6">
        <f>COUNT(E339:I339)</f>
        <v/>
      </c>
      <c r="K339" s="7">
        <f>SUM(E339:I339)</f>
        <v/>
      </c>
      <c r="L339" s="8">
        <f>IF(J339=0,"",K339*5/J339)</f>
        <v/>
      </c>
      <c r="M339" s="8">
        <f>SUMPRODUCT($E$1:$I$1,E339:I339)</f>
        <v/>
      </c>
    </row>
    <row r="340">
      <c r="A340" s="4" t="n">
        <v>338</v>
      </c>
      <c r="B340" s="4" t="inlineStr">
        <is>
          <t>SJM</t>
        </is>
      </c>
      <c r="C340" s="4" t="inlineStr">
        <is>
          <t>J.M. Smucker Company (The)</t>
        </is>
      </c>
      <c r="D340" s="4" t="inlineStr">
        <is>
          <t>US</t>
        </is>
      </c>
      <c r="E340" s="5" t="n">
        <v>7</v>
      </c>
      <c r="F340" s="5" t="n">
        <v>1</v>
      </c>
      <c r="G340" s="5" t="n">
        <v>1</v>
      </c>
      <c r="H340" s="5" t="n">
        <v>4</v>
      </c>
      <c r="I340" s="5" t="n"/>
      <c r="J340" s="6">
        <f>COUNT(E340:I340)</f>
        <v/>
      </c>
      <c r="K340" s="7">
        <f>SUM(E340:I340)</f>
        <v/>
      </c>
      <c r="L340" s="8">
        <f>IF(J340=0,"",K340*5/J340)</f>
        <v/>
      </c>
      <c r="M340" s="8">
        <f>SUMPRODUCT($E$1:$I$1,E340:I340)</f>
        <v/>
      </c>
    </row>
    <row r="341">
      <c r="A341" s="4" t="n">
        <v>339</v>
      </c>
      <c r="B341" s="4" t="inlineStr">
        <is>
          <t>GWW</t>
        </is>
      </c>
      <c r="C341" s="4" t="inlineStr">
        <is>
          <t>W. W. Grainger</t>
        </is>
      </c>
      <c r="D341" s="4" t="inlineStr">
        <is>
          <t>US</t>
        </is>
      </c>
      <c r="E341" s="5" t="n">
        <v>2</v>
      </c>
      <c r="F341" s="5" t="n">
        <v>1</v>
      </c>
      <c r="G341" s="5" t="n">
        <v>9</v>
      </c>
      <c r="H341" s="5" t="n">
        <v>1</v>
      </c>
      <c r="I341" s="5" t="n"/>
      <c r="J341" s="6">
        <f>COUNT(E341:I341)</f>
        <v/>
      </c>
      <c r="K341" s="7">
        <f>SUM(E341:I341)</f>
        <v/>
      </c>
      <c r="L341" s="8">
        <f>IF(J341=0,"",K341*5/J341)</f>
        <v/>
      </c>
      <c r="M341" s="8">
        <f>SUMPRODUCT($E$1:$I$1,E341:I341)</f>
        <v/>
      </c>
    </row>
    <row r="342">
      <c r="A342" s="4" t="n">
        <v>340</v>
      </c>
      <c r="B342" s="4" t="inlineStr">
        <is>
          <t>JCI</t>
        </is>
      </c>
      <c r="C342" s="4" t="inlineStr">
        <is>
          <t>Johnson Controls</t>
        </is>
      </c>
      <c r="D342" s="4" t="inlineStr">
        <is>
          <t>US</t>
        </is>
      </c>
      <c r="E342" s="5" t="n">
        <v>3</v>
      </c>
      <c r="F342" s="5" t="n">
        <v>1</v>
      </c>
      <c r="G342" s="5" t="n">
        <v>5</v>
      </c>
      <c r="H342" s="5" t="n">
        <v>4</v>
      </c>
      <c r="I342" s="5" t="n"/>
      <c r="J342" s="6">
        <f>COUNT(E342:I342)</f>
        <v/>
      </c>
      <c r="K342" s="7">
        <f>SUM(E342:I342)</f>
        <v/>
      </c>
      <c r="L342" s="8">
        <f>IF(J342=0,"",K342*5/J342)</f>
        <v/>
      </c>
      <c r="M342" s="8">
        <f>SUMPRODUCT($E$1:$I$1,E342:I342)</f>
        <v/>
      </c>
    </row>
    <row r="343">
      <c r="A343" s="4" t="n">
        <v>341</v>
      </c>
      <c r="B343" s="4" t="inlineStr">
        <is>
          <t>DLR</t>
        </is>
      </c>
      <c r="C343" s="4" t="inlineStr">
        <is>
          <t>Digital Realty</t>
        </is>
      </c>
      <c r="D343" s="4" t="inlineStr">
        <is>
          <t>US</t>
        </is>
      </c>
      <c r="E343" s="5" t="n">
        <v>4</v>
      </c>
      <c r="F343" s="5" t="n">
        <v>3</v>
      </c>
      <c r="G343" s="5" t="n">
        <v>2</v>
      </c>
      <c r="H343" s="5" t="n">
        <v>4</v>
      </c>
      <c r="I343" s="5" t="n"/>
      <c r="J343" s="6">
        <f>COUNT(E343:I343)</f>
        <v/>
      </c>
      <c r="K343" s="7">
        <f>SUM(E343:I343)</f>
        <v/>
      </c>
      <c r="L343" s="8">
        <f>IF(J343=0,"",K343*5/J343)</f>
        <v/>
      </c>
      <c r="M343" s="8">
        <f>SUMPRODUCT($E$1:$I$1,E343:I343)</f>
        <v/>
      </c>
    </row>
    <row r="344">
      <c r="A344" s="4" t="n">
        <v>342</v>
      </c>
      <c r="B344" s="4" t="inlineStr">
        <is>
          <t>DVA</t>
        </is>
      </c>
      <c r="C344" s="4" t="inlineStr">
        <is>
          <t>DaVita</t>
        </is>
      </c>
      <c r="D344" s="4" t="inlineStr">
        <is>
          <t>US</t>
        </is>
      </c>
      <c r="E344" s="5" t="n">
        <v>7</v>
      </c>
      <c r="F344" s="5" t="n">
        <v>5</v>
      </c>
      <c r="G344" s="5" t="n"/>
      <c r="H344" s="5" t="n">
        <v>1</v>
      </c>
      <c r="I344" s="5" t="n"/>
      <c r="J344" s="6">
        <f>COUNT(E344:I344)</f>
        <v/>
      </c>
      <c r="K344" s="7">
        <f>SUM(E344:I344)</f>
        <v/>
      </c>
      <c r="L344" s="8">
        <f>IF(J344=0,"",K344*5/J344)</f>
        <v/>
      </c>
      <c r="M344" s="8">
        <f>SUMPRODUCT($E$1:$I$1,E344:I344)</f>
        <v/>
      </c>
    </row>
    <row r="345">
      <c r="A345" s="4" t="n">
        <v>343</v>
      </c>
      <c r="B345" s="4" t="inlineStr">
        <is>
          <t>VTR</t>
        </is>
      </c>
      <c r="C345" s="4" t="inlineStr">
        <is>
          <t>Ventas</t>
        </is>
      </c>
      <c r="D345" s="4" t="inlineStr">
        <is>
          <t>US</t>
        </is>
      </c>
      <c r="E345" s="5" t="n">
        <v>3</v>
      </c>
      <c r="F345" s="5" t="n">
        <v>1</v>
      </c>
      <c r="G345" s="5" t="n">
        <v>1</v>
      </c>
      <c r="H345" s="5" t="n">
        <v>8</v>
      </c>
      <c r="I345" s="5" t="n"/>
      <c r="J345" s="6">
        <f>COUNT(E345:I345)</f>
        <v/>
      </c>
      <c r="K345" s="7">
        <f>SUM(E345:I345)</f>
        <v/>
      </c>
      <c r="L345" s="8">
        <f>IF(J345=0,"",K345*5/J345)</f>
        <v/>
      </c>
      <c r="M345" s="8">
        <f>SUMPRODUCT($E$1:$I$1,E345:I345)</f>
        <v/>
      </c>
    </row>
    <row r="346">
      <c r="A346" s="4" t="n">
        <v>344</v>
      </c>
      <c r="B346" s="4" t="inlineStr">
        <is>
          <t>EFX</t>
        </is>
      </c>
      <c r="C346" s="4" t="inlineStr">
        <is>
          <t>Equifax</t>
        </is>
      </c>
      <c r="D346" s="4" t="inlineStr">
        <is>
          <t>US</t>
        </is>
      </c>
      <c r="E346" s="5" t="n">
        <v>4</v>
      </c>
      <c r="F346" s="5" t="n">
        <v>2</v>
      </c>
      <c r="G346" s="5" t="n">
        <v>5</v>
      </c>
      <c r="H346" s="5" t="n">
        <v>1</v>
      </c>
      <c r="I346" s="5" t="n"/>
      <c r="J346" s="6">
        <f>COUNT(E346:I346)</f>
        <v/>
      </c>
      <c r="K346" s="7">
        <f>SUM(E346:I346)</f>
        <v/>
      </c>
      <c r="L346" s="8">
        <f>IF(J346=0,"",K346*5/J346)</f>
        <v/>
      </c>
      <c r="M346" s="8">
        <f>SUMPRODUCT($E$1:$I$1,E346:I346)</f>
        <v/>
      </c>
    </row>
    <row r="347">
      <c r="A347" s="4" t="n">
        <v>345</v>
      </c>
      <c r="B347" s="4" t="inlineStr">
        <is>
          <t>MGM</t>
        </is>
      </c>
      <c r="C347" s="4" t="inlineStr">
        <is>
          <t>MGM Resorts</t>
        </is>
      </c>
      <c r="D347" s="4" t="inlineStr">
        <is>
          <t>US</t>
        </is>
      </c>
      <c r="E347" s="5" t="n">
        <v>3</v>
      </c>
      <c r="F347" s="5" t="n">
        <v>5</v>
      </c>
      <c r="G347" s="5" t="n">
        <v>2</v>
      </c>
      <c r="H347" s="5" t="n">
        <v>2</v>
      </c>
      <c r="I347" s="5" t="n"/>
      <c r="J347" s="6">
        <f>COUNT(E347:I347)</f>
        <v/>
      </c>
      <c r="K347" s="7">
        <f>SUM(E347:I347)</f>
        <v/>
      </c>
      <c r="L347" s="8">
        <f>IF(J347=0,"",K347*5/J347)</f>
        <v/>
      </c>
      <c r="M347" s="8">
        <f>SUMPRODUCT($E$1:$I$1,E347:I347)</f>
        <v/>
      </c>
    </row>
    <row r="348">
      <c r="A348" s="4" t="n">
        <v>346</v>
      </c>
      <c r="B348" s="4" t="inlineStr">
        <is>
          <t>KIM</t>
        </is>
      </c>
      <c r="C348" s="4" t="inlineStr">
        <is>
          <t>Kimco Realty</t>
        </is>
      </c>
      <c r="D348" s="4" t="inlineStr">
        <is>
          <t>US</t>
        </is>
      </c>
      <c r="E348" s="5" t="n">
        <v>6</v>
      </c>
      <c r="F348" s="5" t="n">
        <v>1</v>
      </c>
      <c r="G348" s="5" t="n">
        <v>2</v>
      </c>
      <c r="H348" s="5" t="n">
        <v>2</v>
      </c>
      <c r="I348" s="5" t="n"/>
      <c r="J348" s="6">
        <f>COUNT(E348:I348)</f>
        <v/>
      </c>
      <c r="K348" s="7">
        <f>SUM(E348:I348)</f>
        <v/>
      </c>
      <c r="L348" s="8">
        <f>IF(J348=0,"",K348*5/J348)</f>
        <v/>
      </c>
      <c r="M348" s="8">
        <f>SUMPRODUCT($E$1:$I$1,E348:I348)</f>
        <v/>
      </c>
    </row>
    <row r="349">
      <c r="A349" s="4" t="n">
        <v>347</v>
      </c>
      <c r="B349" s="4" t="inlineStr">
        <is>
          <t>AZO</t>
        </is>
      </c>
      <c r="C349" s="4" t="inlineStr">
        <is>
          <t>AutoZone</t>
        </is>
      </c>
      <c r="D349" s="4" t="inlineStr">
        <is>
          <t>US</t>
        </is>
      </c>
      <c r="E349" s="5" t="n">
        <v>6</v>
      </c>
      <c r="F349" s="5" t="n">
        <v>3</v>
      </c>
      <c r="G349" s="5" t="n"/>
      <c r="H349" s="5" t="n">
        <v>2</v>
      </c>
      <c r="I349" s="5" t="n"/>
      <c r="J349" s="6">
        <f>COUNT(E349:I349)</f>
        <v/>
      </c>
      <c r="K349" s="7">
        <f>SUM(E349:I349)</f>
        <v/>
      </c>
      <c r="L349" s="8">
        <f>IF(J349=0,"",K349*5/J349)</f>
        <v/>
      </c>
      <c r="M349" s="8">
        <f>SUMPRODUCT($E$1:$I$1,E349:I349)</f>
        <v/>
      </c>
    </row>
    <row r="350">
      <c r="A350" s="4" t="n">
        <v>348</v>
      </c>
      <c r="B350" s="4" t="inlineStr">
        <is>
          <t>SBUX</t>
        </is>
      </c>
      <c r="C350" s="4" t="inlineStr">
        <is>
          <t>Starbucks</t>
        </is>
      </c>
      <c r="D350" s="4" t="inlineStr">
        <is>
          <t>US</t>
        </is>
      </c>
      <c r="E350" s="5" t="n">
        <v>1</v>
      </c>
      <c r="F350" s="5" t="n">
        <v>3</v>
      </c>
      <c r="G350" s="5" t="n"/>
      <c r="H350" s="5" t="n">
        <v>7</v>
      </c>
      <c r="I350" s="5" t="n"/>
      <c r="J350" s="6">
        <f>COUNT(E350:I350)</f>
        <v/>
      </c>
      <c r="K350" s="7">
        <f>SUM(E350:I350)</f>
        <v/>
      </c>
      <c r="L350" s="8">
        <f>IF(J350=0,"",K350*5/J350)</f>
        <v/>
      </c>
      <c r="M350" s="8">
        <f>SUMPRODUCT($E$1:$I$1,E350:I350)</f>
        <v/>
      </c>
    </row>
    <row r="351">
      <c r="A351" s="4" t="n">
        <v>349</v>
      </c>
      <c r="B351" s="4" t="inlineStr">
        <is>
          <t>MLM</t>
        </is>
      </c>
      <c r="C351" s="4" t="inlineStr">
        <is>
          <t>Martin Marietta Materials</t>
        </is>
      </c>
      <c r="D351" s="4" t="inlineStr">
        <is>
          <t>US</t>
        </is>
      </c>
      <c r="E351" s="5" t="n">
        <v>4</v>
      </c>
      <c r="F351" s="5" t="n">
        <v>2</v>
      </c>
      <c r="G351" s="5" t="n">
        <v>3</v>
      </c>
      <c r="H351" s="5" t="n">
        <v>2</v>
      </c>
      <c r="I351" s="5" t="n"/>
      <c r="J351" s="6">
        <f>COUNT(E351:I351)</f>
        <v/>
      </c>
      <c r="K351" s="7">
        <f>SUM(E351:I351)</f>
        <v/>
      </c>
      <c r="L351" s="8">
        <f>IF(J351=0,"",K351*5/J351)</f>
        <v/>
      </c>
      <c r="M351" s="8">
        <f>SUMPRODUCT($E$1:$I$1,E351:I351)</f>
        <v/>
      </c>
    </row>
    <row r="352">
      <c r="A352" s="4" t="n">
        <v>350</v>
      </c>
      <c r="B352" s="4" t="inlineStr">
        <is>
          <t>PWR</t>
        </is>
      </c>
      <c r="C352" s="4" t="inlineStr">
        <is>
          <t>Quanta Services</t>
        </is>
      </c>
      <c r="D352" s="4" t="inlineStr">
        <is>
          <t>US</t>
        </is>
      </c>
      <c r="E352" s="5" t="n">
        <v>1</v>
      </c>
      <c r="F352" s="5" t="n">
        <v>3</v>
      </c>
      <c r="G352" s="5" t="n">
        <v>4</v>
      </c>
      <c r="H352" s="5" t="n">
        <v>3</v>
      </c>
      <c r="I352" s="5" t="n"/>
      <c r="J352" s="6">
        <f>COUNT(E352:I352)</f>
        <v/>
      </c>
      <c r="K352" s="7">
        <f>SUM(E352:I352)</f>
        <v/>
      </c>
      <c r="L352" s="8">
        <f>IF(J352=0,"",K352*5/J352)</f>
        <v/>
      </c>
      <c r="M352" s="8">
        <f>SUMPRODUCT($E$1:$I$1,E352:I352)</f>
        <v/>
      </c>
    </row>
    <row r="353">
      <c r="A353" s="4" t="n">
        <v>351</v>
      </c>
      <c r="B353" s="4" t="inlineStr">
        <is>
          <t>GPC</t>
        </is>
      </c>
      <c r="C353" s="4" t="inlineStr">
        <is>
          <t>Genuine Parts Company</t>
        </is>
      </c>
      <c r="D353" s="4" t="inlineStr">
        <is>
          <t>US</t>
        </is>
      </c>
      <c r="E353" s="5" t="n">
        <v>3</v>
      </c>
      <c r="F353" s="5" t="n">
        <v>2</v>
      </c>
      <c r="G353" s="5" t="n">
        <v>1</v>
      </c>
      <c r="H353" s="5" t="n">
        <v>5</v>
      </c>
      <c r="I353" s="5" t="n"/>
      <c r="J353" s="6">
        <f>COUNT(E353:I353)</f>
        <v/>
      </c>
      <c r="K353" s="7">
        <f>SUM(E353:I353)</f>
        <v/>
      </c>
      <c r="L353" s="8">
        <f>IF(J353=0,"",K353*5/J353)</f>
        <v/>
      </c>
      <c r="M353" s="8">
        <f>SUMPRODUCT($E$1:$I$1,E353:I353)</f>
        <v/>
      </c>
    </row>
    <row r="354">
      <c r="A354" s="4" t="n">
        <v>352</v>
      </c>
      <c r="B354" s="4" t="inlineStr">
        <is>
          <t>KR</t>
        </is>
      </c>
      <c r="C354" s="4" t="inlineStr">
        <is>
          <t>Kroger</t>
        </is>
      </c>
      <c r="D354" s="4" t="inlineStr">
        <is>
          <t>US</t>
        </is>
      </c>
      <c r="E354" s="5" t="n">
        <v>3</v>
      </c>
      <c r="F354" s="5" t="n">
        <v>1</v>
      </c>
      <c r="G354" s="5" t="n">
        <v>6</v>
      </c>
      <c r="H354" s="5" t="n">
        <v>1</v>
      </c>
      <c r="I354" s="5" t="n"/>
      <c r="J354" s="6">
        <f>COUNT(E354:I354)</f>
        <v/>
      </c>
      <c r="K354" s="7">
        <f>SUM(E354:I354)</f>
        <v/>
      </c>
      <c r="L354" s="8">
        <f>IF(J354=0,"",K354*5/J354)</f>
        <v/>
      </c>
      <c r="M354" s="8">
        <f>SUMPRODUCT($E$1:$I$1,E354:I354)</f>
        <v/>
      </c>
    </row>
    <row r="355">
      <c r="A355" s="4" t="n">
        <v>353</v>
      </c>
      <c r="B355" s="4" t="inlineStr">
        <is>
          <t>CVS</t>
        </is>
      </c>
      <c r="C355" s="4" t="inlineStr">
        <is>
          <t>CVS Health</t>
        </is>
      </c>
      <c r="D355" s="4" t="inlineStr">
        <is>
          <t>US</t>
        </is>
      </c>
      <c r="E355" s="5" t="n">
        <v>5</v>
      </c>
      <c r="F355" s="5" t="n">
        <v>2</v>
      </c>
      <c r="G355" s="5" t="n">
        <v>1</v>
      </c>
      <c r="H355" s="5" t="n">
        <v>3</v>
      </c>
      <c r="I355" s="5" t="n"/>
      <c r="J355" s="6">
        <f>COUNT(E355:I355)</f>
        <v/>
      </c>
      <c r="K355" s="7">
        <f>SUM(E355:I355)</f>
        <v/>
      </c>
      <c r="L355" s="8">
        <f>IF(J355=0,"",K355*5/J355)</f>
        <v/>
      </c>
      <c r="M355" s="8">
        <f>SUMPRODUCT($E$1:$I$1,E355:I355)</f>
        <v/>
      </c>
    </row>
    <row r="356">
      <c r="A356" s="4" t="n">
        <v>354</v>
      </c>
      <c r="B356" s="4" t="inlineStr">
        <is>
          <t>AKAM</t>
        </is>
      </c>
      <c r="C356" s="4" t="inlineStr">
        <is>
          <t>Akamai Technologies</t>
        </is>
      </c>
      <c r="D356" s="4" t="inlineStr">
        <is>
          <t>US</t>
        </is>
      </c>
      <c r="E356" s="5" t="n">
        <v>4</v>
      </c>
      <c r="F356" s="5" t="n">
        <v>1</v>
      </c>
      <c r="G356" s="5" t="n">
        <v>3</v>
      </c>
      <c r="H356" s="5" t="n">
        <v>1</v>
      </c>
      <c r="I356" s="5" t="n"/>
      <c r="J356" s="6">
        <f>COUNT(E356:I356)</f>
        <v/>
      </c>
      <c r="K356" s="7">
        <f>SUM(E356:I356)</f>
        <v/>
      </c>
      <c r="L356" s="8">
        <f>IF(J356=0,"",K356*5/J356)</f>
        <v/>
      </c>
      <c r="M356" s="8">
        <f>SUMPRODUCT($E$1:$I$1,E356:I356)</f>
        <v/>
      </c>
    </row>
    <row r="357">
      <c r="A357" s="4" t="n">
        <v>355</v>
      </c>
      <c r="B357" s="4" t="inlineStr">
        <is>
          <t>TDG</t>
        </is>
      </c>
      <c r="C357" s="4" t="inlineStr">
        <is>
          <t>TransDigm Group</t>
        </is>
      </c>
      <c r="D357" s="4" t="inlineStr">
        <is>
          <t>US</t>
        </is>
      </c>
      <c r="E357" s="5" t="n">
        <v>2</v>
      </c>
      <c r="F357" s="5" t="n">
        <v>4</v>
      </c>
      <c r="G357" s="5" t="n"/>
      <c r="H357" s="5" t="n">
        <v>3</v>
      </c>
      <c r="I357" s="5" t="n"/>
      <c r="J357" s="6">
        <f>COUNT(E357:I357)</f>
        <v/>
      </c>
      <c r="K357" s="7">
        <f>SUM(E357:I357)</f>
        <v/>
      </c>
      <c r="L357" s="8">
        <f>IF(J357=0,"",K357*5/J357)</f>
        <v/>
      </c>
      <c r="M357" s="8">
        <f>SUMPRODUCT($E$1:$I$1,E357:I357)</f>
        <v/>
      </c>
    </row>
    <row r="358">
      <c r="A358" s="4" t="n">
        <v>356</v>
      </c>
      <c r="B358" s="4" t="inlineStr">
        <is>
          <t>MOS</t>
        </is>
      </c>
      <c r="C358" s="4" t="inlineStr">
        <is>
          <t>Mosaic Company (The)</t>
        </is>
      </c>
      <c r="D358" s="4" t="inlineStr">
        <is>
          <t>US</t>
        </is>
      </c>
      <c r="E358" s="5" t="n">
        <v>6</v>
      </c>
      <c r="F358" s="5" t="n">
        <v>1</v>
      </c>
      <c r="G358" s="5" t="n">
        <v>1</v>
      </c>
      <c r="H358" s="5" t="n">
        <v>1</v>
      </c>
      <c r="I358" s="5" t="n"/>
      <c r="J358" s="6">
        <f>COUNT(E358:I358)</f>
        <v/>
      </c>
      <c r="K358" s="7">
        <f>SUM(E358:I358)</f>
        <v/>
      </c>
      <c r="L358" s="8">
        <f>IF(J358=0,"",K358*5/J358)</f>
        <v/>
      </c>
      <c r="M358" s="8">
        <f>SUMPRODUCT($E$1:$I$1,E358:I358)</f>
        <v/>
      </c>
    </row>
    <row r="359">
      <c r="A359" s="4" t="n">
        <v>357</v>
      </c>
      <c r="B359" s="4" t="inlineStr">
        <is>
          <t>HPE</t>
        </is>
      </c>
      <c r="C359" s="4" t="inlineStr">
        <is>
          <t>Hewlett Packard Enterprise</t>
        </is>
      </c>
      <c r="D359" s="4" t="inlineStr">
        <is>
          <t>US</t>
        </is>
      </c>
      <c r="E359" s="5" t="n">
        <v>5</v>
      </c>
      <c r="F359" s="5" t="n">
        <v>1</v>
      </c>
      <c r="G359" s="5" t="n">
        <v>2</v>
      </c>
      <c r="H359" s="5" t="n">
        <v>1</v>
      </c>
      <c r="I359" s="5" t="n"/>
      <c r="J359" s="6">
        <f>COUNT(E359:I359)</f>
        <v/>
      </c>
      <c r="K359" s="7">
        <f>SUM(E359:I359)</f>
        <v/>
      </c>
      <c r="L359" s="8">
        <f>IF(J359=0,"",K359*5/J359)</f>
        <v/>
      </c>
      <c r="M359" s="8">
        <f>SUMPRODUCT($E$1:$I$1,E359:I359)</f>
        <v/>
      </c>
    </row>
    <row r="360">
      <c r="A360" s="4" t="n">
        <v>358</v>
      </c>
      <c r="B360" s="4" t="inlineStr">
        <is>
          <t>IRM</t>
        </is>
      </c>
      <c r="C360" s="4" t="inlineStr">
        <is>
          <t>Iron Mountain</t>
        </is>
      </c>
      <c r="D360" s="4" t="inlineStr">
        <is>
          <t>US</t>
        </is>
      </c>
      <c r="E360" s="5" t="n">
        <v>1</v>
      </c>
      <c r="F360" s="5" t="n">
        <v>2</v>
      </c>
      <c r="G360" s="5" t="n"/>
      <c r="H360" s="5" t="n">
        <v>5</v>
      </c>
      <c r="I360" s="5" t="n"/>
      <c r="J360" s="6">
        <f>COUNT(E360:I360)</f>
        <v/>
      </c>
      <c r="K360" s="7">
        <f>SUM(E360:I360)</f>
        <v/>
      </c>
      <c r="L360" s="8">
        <f>IF(J360=0,"",K360*5/J360)</f>
        <v/>
      </c>
      <c r="M360" s="8">
        <f>SUMPRODUCT($E$1:$I$1,E360:I360)</f>
        <v/>
      </c>
    </row>
    <row r="361">
      <c r="A361" s="4" t="n">
        <v>359</v>
      </c>
      <c r="B361" s="4" t="inlineStr">
        <is>
          <t>ORLY</t>
        </is>
      </c>
      <c r="C361" s="4" t="inlineStr">
        <is>
          <t>O'Reilly Auto Parts</t>
        </is>
      </c>
      <c r="D361" s="4" t="inlineStr">
        <is>
          <t>US</t>
        </is>
      </c>
      <c r="E361" s="5" t="n">
        <v>4</v>
      </c>
      <c r="F361" s="5" t="n">
        <v>2</v>
      </c>
      <c r="G361" s="5" t="n"/>
      <c r="H361" s="5" t="n">
        <v>1</v>
      </c>
      <c r="I361" s="5" t="n"/>
      <c r="J361" s="6">
        <f>COUNT(E361:I361)</f>
        <v/>
      </c>
      <c r="K361" s="7">
        <f>SUM(E361:I361)</f>
        <v/>
      </c>
      <c r="L361" s="8">
        <f>IF(J361=0,"",K361*5/J361)</f>
        <v/>
      </c>
      <c r="M361" s="8">
        <f>SUMPRODUCT($E$1:$I$1,E361:I361)</f>
        <v/>
      </c>
    </row>
    <row r="362">
      <c r="A362" s="4" t="n">
        <v>360</v>
      </c>
      <c r="B362" s="4" t="inlineStr">
        <is>
          <t>HAS</t>
        </is>
      </c>
      <c r="C362" s="4" t="inlineStr">
        <is>
          <t>Hasbro</t>
        </is>
      </c>
      <c r="D362" s="4" t="inlineStr">
        <is>
          <t>US</t>
        </is>
      </c>
      <c r="E362" s="5" t="n">
        <v>1</v>
      </c>
      <c r="F362" s="5" t="n">
        <v>2</v>
      </c>
      <c r="G362" s="5" t="n">
        <v>1</v>
      </c>
      <c r="H362" s="5" t="n">
        <v>2</v>
      </c>
      <c r="I362" s="5" t="n"/>
      <c r="J362" s="6">
        <f>COUNT(E362:I362)</f>
        <v/>
      </c>
      <c r="K362" s="7">
        <f>SUM(E362:I362)</f>
        <v/>
      </c>
      <c r="L362" s="8">
        <f>IF(J362=0,"",K362*5/J362)</f>
        <v/>
      </c>
      <c r="M362" s="8">
        <f>SUMPRODUCT($E$1:$I$1,E362:I362)</f>
        <v/>
      </c>
    </row>
    <row r="363">
      <c r="A363" s="4" t="n">
        <v>361</v>
      </c>
      <c r="B363" s="4" t="inlineStr">
        <is>
          <t>AMD</t>
        </is>
      </c>
      <c r="C363" s="4" t="inlineStr">
        <is>
          <t>Advanced Micro Devices</t>
        </is>
      </c>
      <c r="D363" s="4" t="inlineStr">
        <is>
          <t>US</t>
        </is>
      </c>
      <c r="E363" s="5" t="n">
        <v>1</v>
      </c>
      <c r="F363" s="5" t="n">
        <v>1</v>
      </c>
      <c r="G363" s="5" t="n">
        <v>2</v>
      </c>
      <c r="H363" s="5" t="n">
        <v>1</v>
      </c>
      <c r="I363" s="5" t="n"/>
      <c r="J363" s="6">
        <f>COUNT(E363:I363)</f>
        <v/>
      </c>
      <c r="K363" s="7">
        <f>SUM(E363:I363)</f>
        <v/>
      </c>
      <c r="L363" s="8">
        <f>IF(J363=0,"",K363*5/J363)</f>
        <v/>
      </c>
      <c r="M363" s="8">
        <f>SUMPRODUCT($E$1:$I$1,E363:I363)</f>
        <v/>
      </c>
    </row>
    <row r="364">
      <c r="A364" s="4" t="n">
        <v>362</v>
      </c>
      <c r="B364" s="4" t="inlineStr">
        <is>
          <t>CAH</t>
        </is>
      </c>
      <c r="C364" s="4" t="inlineStr">
        <is>
          <t>Cardinal Health</t>
        </is>
      </c>
      <c r="D364" s="4" t="inlineStr">
        <is>
          <t>US</t>
        </is>
      </c>
      <c r="E364" s="5" t="n">
        <v>2</v>
      </c>
      <c r="F364" s="5" t="n">
        <v>1</v>
      </c>
      <c r="G364" s="5" t="n"/>
      <c r="H364" s="5" t="n">
        <v>2</v>
      </c>
      <c r="I364" s="5" t="n"/>
      <c r="J364" s="6">
        <f>COUNT(E364:I364)</f>
        <v/>
      </c>
      <c r="K364" s="7">
        <f>SUM(E364:I364)</f>
        <v/>
      </c>
      <c r="L364" s="8">
        <f>IF(J364=0,"",K364*5/J364)</f>
        <v/>
      </c>
      <c r="M364" s="8">
        <f>SUMPRODUCT($E$1:$I$1,E364:I364)</f>
        <v/>
      </c>
    </row>
  </sheetData>
  <autoFilter ref="A2:M364"/>
  <conditionalFormatting sqref="E3:I364">
    <cfRule type="colorScale" priority="1">
      <colorScale>
        <cfvo type="num" val="1"/>
        <cfvo type="num" val="5.5"/>
        <cfvo type="num" val="10"/>
        <color rgb="00F8696B"/>
        <color rgb="00FFEB84"/>
        <color rgb="0063BE7B"/>
      </colorScale>
    </cfRule>
  </conditionalFormatting>
  <conditionalFormatting sqref="K3:K36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3" t="inlineStr">
        <is>
          <t>Rank</t>
        </is>
      </c>
      <c r="B1" s="3" t="inlineStr">
        <is>
          <t>Ticker</t>
        </is>
      </c>
      <c r="C1" s="3" t="inlineStr">
        <is>
          <t>Name</t>
        </is>
      </c>
      <c r="D1" s="3" t="inlineStr">
        <is>
          <t>Region</t>
        </is>
      </c>
      <c r="E1" s="3" t="inlineStr">
        <is>
          <t>Value</t>
        </is>
      </c>
      <c r="F1" s="3" t="inlineStr">
        <is>
          <t>Momentum</t>
        </is>
      </c>
      <c r="G1" s="3" t="inlineStr">
        <is>
          <t>Quality</t>
        </is>
      </c>
      <c r="H1" s="3" t="inlineStr">
        <is>
          <t>Low Vol</t>
        </is>
      </c>
      <c r="I1" s="3" t="inlineStr">
        <is>
          <t>Skin in Game</t>
        </is>
      </c>
      <c r="J1" s="3" t="inlineStr">
        <is>
          <t>Coverage</t>
        </is>
      </c>
      <c r="K1" s="3" t="inlineStr">
        <is>
          <t>Total</t>
        </is>
      </c>
      <c r="L1" s="3" t="inlineStr">
        <is>
          <t>Total (cov-adj)</t>
        </is>
      </c>
      <c r="M1" s="3" t="inlineStr">
        <is>
          <t>Weighted</t>
        </is>
      </c>
    </row>
    <row r="2">
      <c r="A2" s="4" t="n">
        <v>1</v>
      </c>
      <c r="B2" s="4" t="inlineStr">
        <is>
          <t>PGR</t>
        </is>
      </c>
      <c r="C2" s="4" t="inlineStr">
        <is>
          <t>Progressive Corporation</t>
        </is>
      </c>
      <c r="D2" s="4" t="inlineStr">
        <is>
          <t>US</t>
        </is>
      </c>
      <c r="E2" s="6" t="n">
        <v>7</v>
      </c>
      <c r="F2" s="6" t="n">
        <v>10</v>
      </c>
      <c r="G2" s="6" t="n">
        <v>9</v>
      </c>
      <c r="H2" s="6" t="n">
        <v>9</v>
      </c>
      <c r="I2" s="6" t="n"/>
      <c r="J2" s="4" t="n">
        <v>4</v>
      </c>
      <c r="K2" s="1" t="n">
        <v>35</v>
      </c>
      <c r="L2" s="9" t="n">
        <v>43.75</v>
      </c>
      <c r="M2" s="9" t="n">
        <v>35</v>
      </c>
    </row>
    <row r="3">
      <c r="A3" s="4" t="n">
        <v>2</v>
      </c>
      <c r="B3" s="4" t="inlineStr">
        <is>
          <t>ACN</t>
        </is>
      </c>
      <c r="C3" s="4" t="inlineStr">
        <is>
          <t>Accenture</t>
        </is>
      </c>
      <c r="D3" s="4" t="inlineStr">
        <is>
          <t>US</t>
        </is>
      </c>
      <c r="E3" s="6" t="n">
        <v>8</v>
      </c>
      <c r="F3" s="6" t="n">
        <v>8</v>
      </c>
      <c r="G3" s="6" t="n">
        <v>8</v>
      </c>
      <c r="H3" s="6" t="n">
        <v>10</v>
      </c>
      <c r="I3" s="6" t="n"/>
      <c r="J3" s="4" t="n">
        <v>4</v>
      </c>
      <c r="K3" s="1" t="n">
        <v>34</v>
      </c>
      <c r="L3" s="9" t="n">
        <v>42.5</v>
      </c>
      <c r="M3" s="9" t="n">
        <v>34</v>
      </c>
    </row>
    <row r="4">
      <c r="A4" s="4" t="n">
        <v>3</v>
      </c>
      <c r="B4" s="4" t="inlineStr">
        <is>
          <t>ALL</t>
        </is>
      </c>
      <c r="C4" s="4" t="inlineStr">
        <is>
          <t>Allstate</t>
        </is>
      </c>
      <c r="D4" s="4" t="inlineStr">
        <is>
          <t>US</t>
        </is>
      </c>
      <c r="E4" s="6" t="n">
        <v>9</v>
      </c>
      <c r="F4" s="6" t="n">
        <v>7</v>
      </c>
      <c r="G4" s="6" t="n">
        <v>9</v>
      </c>
      <c r="H4" s="6" t="n">
        <v>9</v>
      </c>
      <c r="I4" s="6" t="n"/>
      <c r="J4" s="4" t="n">
        <v>4</v>
      </c>
      <c r="K4" s="1" t="n">
        <v>34</v>
      </c>
      <c r="L4" s="9" t="n">
        <v>42.5</v>
      </c>
      <c r="M4" s="9" t="n">
        <v>34</v>
      </c>
    </row>
    <row r="5">
      <c r="A5" s="4" t="n">
        <v>4</v>
      </c>
      <c r="B5" s="4" t="inlineStr">
        <is>
          <t>FIS</t>
        </is>
      </c>
      <c r="C5" s="4" t="inlineStr">
        <is>
          <t>Fidelity National Information Services</t>
        </is>
      </c>
      <c r="D5" s="4" t="inlineStr">
        <is>
          <t>US</t>
        </is>
      </c>
      <c r="E5" s="6" t="n">
        <v>10</v>
      </c>
      <c r="F5" s="6" t="n">
        <v>7</v>
      </c>
      <c r="G5" s="6" t="n">
        <v>6</v>
      </c>
      <c r="H5" s="6" t="n">
        <v>10</v>
      </c>
      <c r="I5" s="6" t="n"/>
      <c r="J5" s="4" t="n">
        <v>4</v>
      </c>
      <c r="K5" s="1" t="n">
        <v>33</v>
      </c>
      <c r="L5" s="9" t="n">
        <v>41.25</v>
      </c>
      <c r="M5" s="9" t="n">
        <v>33</v>
      </c>
    </row>
    <row r="6">
      <c r="A6" s="4" t="n">
        <v>5</v>
      </c>
      <c r="B6" s="4" t="inlineStr">
        <is>
          <t>AVY</t>
        </is>
      </c>
      <c r="C6" s="4" t="inlineStr">
        <is>
          <t>Avery Dennison</t>
        </is>
      </c>
      <c r="D6" s="4" t="inlineStr">
        <is>
          <t>US</t>
        </is>
      </c>
      <c r="E6" s="6" t="n">
        <v>6</v>
      </c>
      <c r="F6" s="6" t="n">
        <v>10</v>
      </c>
      <c r="G6" s="6" t="n">
        <v>8</v>
      </c>
      <c r="H6" s="6" t="n">
        <v>9</v>
      </c>
      <c r="I6" s="6" t="n"/>
      <c r="J6" s="4" t="n">
        <v>4</v>
      </c>
      <c r="K6" s="1" t="n">
        <v>33</v>
      </c>
      <c r="L6" s="9" t="n">
        <v>41.25</v>
      </c>
      <c r="M6" s="9" t="n">
        <v>33</v>
      </c>
    </row>
    <row r="7">
      <c r="A7" s="4" t="n">
        <v>6</v>
      </c>
      <c r="B7" s="4" t="inlineStr">
        <is>
          <t>TROW</t>
        </is>
      </c>
      <c r="C7" s="4" t="inlineStr">
        <is>
          <t>T. Rowe Price</t>
        </is>
      </c>
      <c r="D7" s="4" t="inlineStr">
        <is>
          <t>US</t>
        </is>
      </c>
      <c r="E7" s="6" t="n">
        <v>9</v>
      </c>
      <c r="F7" s="6" t="n">
        <v>10</v>
      </c>
      <c r="G7" s="6" t="n">
        <v>7</v>
      </c>
      <c r="H7" s="6" t="n">
        <v>6</v>
      </c>
      <c r="I7" s="6" t="n"/>
      <c r="J7" s="4" t="n">
        <v>4</v>
      </c>
      <c r="K7" s="1" t="n">
        <v>32</v>
      </c>
      <c r="L7" s="9" t="n">
        <v>40</v>
      </c>
      <c r="M7" s="9" t="n">
        <v>32</v>
      </c>
    </row>
    <row r="8">
      <c r="A8" s="4" t="n">
        <v>7</v>
      </c>
      <c r="B8" s="4" t="inlineStr">
        <is>
          <t>ZTS</t>
        </is>
      </c>
      <c r="C8" s="4" t="inlineStr">
        <is>
          <t>Zoetis</t>
        </is>
      </c>
      <c r="D8" s="4" t="inlineStr">
        <is>
          <t>US</t>
        </is>
      </c>
      <c r="E8" s="6" t="n">
        <v>6</v>
      </c>
      <c r="F8" s="6" t="n">
        <v>8</v>
      </c>
      <c r="G8" s="6" t="n">
        <v>10</v>
      </c>
      <c r="H8" s="6" t="n">
        <v>8</v>
      </c>
      <c r="I8" s="6" t="n"/>
      <c r="J8" s="4" t="n">
        <v>4</v>
      </c>
      <c r="K8" s="1" t="n">
        <v>32</v>
      </c>
      <c r="L8" s="9" t="n">
        <v>40</v>
      </c>
      <c r="M8" s="9" t="n">
        <v>32</v>
      </c>
    </row>
    <row r="9">
      <c r="A9" s="4" t="n">
        <v>8</v>
      </c>
      <c r="B9" s="4" t="inlineStr">
        <is>
          <t>AFL</t>
        </is>
      </c>
      <c r="C9" s="4" t="inlineStr">
        <is>
          <t>Aflac</t>
        </is>
      </c>
      <c r="D9" s="4" t="inlineStr">
        <is>
          <t>US</t>
        </is>
      </c>
      <c r="E9" s="6" t="n">
        <v>8</v>
      </c>
      <c r="F9" s="6" t="n">
        <v>8</v>
      </c>
      <c r="G9" s="6" t="n">
        <v>6</v>
      </c>
      <c r="H9" s="6" t="n">
        <v>10</v>
      </c>
      <c r="I9" s="6" t="n"/>
      <c r="J9" s="4" t="n">
        <v>4</v>
      </c>
      <c r="K9" s="1" t="n">
        <v>32</v>
      </c>
      <c r="L9" s="9" t="n">
        <v>40</v>
      </c>
      <c r="M9" s="9" t="n">
        <v>32</v>
      </c>
    </row>
    <row r="10">
      <c r="A10" s="4" t="n">
        <v>9</v>
      </c>
      <c r="B10" s="4" t="inlineStr">
        <is>
          <t>NOC</t>
        </is>
      </c>
      <c r="C10" s="4" t="inlineStr">
        <is>
          <t>Northrop Grumman</t>
        </is>
      </c>
      <c r="D10" s="4" t="inlineStr">
        <is>
          <t>US</t>
        </is>
      </c>
      <c r="E10" s="6" t="n">
        <v>7</v>
      </c>
      <c r="F10" s="6" t="n">
        <v>8</v>
      </c>
      <c r="G10" s="6" t="n">
        <v>8</v>
      </c>
      <c r="H10" s="6" t="n">
        <v>9</v>
      </c>
      <c r="I10" s="6" t="n"/>
      <c r="J10" s="4" t="n">
        <v>4</v>
      </c>
      <c r="K10" s="1" t="n">
        <v>32</v>
      </c>
      <c r="L10" s="9" t="n">
        <v>40</v>
      </c>
      <c r="M10" s="9" t="n">
        <v>32</v>
      </c>
    </row>
    <row r="11">
      <c r="A11" s="4" t="n">
        <v>10</v>
      </c>
      <c r="B11" s="4" t="inlineStr">
        <is>
          <t>V</t>
        </is>
      </c>
      <c r="C11" s="4" t="inlineStr">
        <is>
          <t>Visa Inc.</t>
        </is>
      </c>
      <c r="D11" s="4" t="inlineStr">
        <is>
          <t>US</t>
        </is>
      </c>
      <c r="E11" s="6" t="n">
        <v>3</v>
      </c>
      <c r="F11" s="6" t="n">
        <v>9</v>
      </c>
      <c r="G11" s="6" t="n">
        <v>10</v>
      </c>
      <c r="H11" s="6" t="n">
        <v>10</v>
      </c>
      <c r="I11" s="6" t="n"/>
      <c r="J11" s="4" t="n">
        <v>4</v>
      </c>
      <c r="K11" s="1" t="n">
        <v>32</v>
      </c>
      <c r="L11" s="9" t="n">
        <v>40</v>
      </c>
      <c r="M11" s="9" t="n">
        <v>32</v>
      </c>
    </row>
    <row r="12">
      <c r="A12" s="4" t="n">
        <v>11</v>
      </c>
      <c r="B12" s="4" t="inlineStr">
        <is>
          <t>STZ</t>
        </is>
      </c>
      <c r="C12" s="4" t="inlineStr">
        <is>
          <t>Constellation Brands</t>
        </is>
      </c>
      <c r="D12" s="4" t="inlineStr">
        <is>
          <t>US</t>
        </is>
      </c>
      <c r="E12" s="6" t="n">
        <v>7</v>
      </c>
      <c r="F12" s="6" t="n">
        <v>9</v>
      </c>
      <c r="G12" s="6" t="n">
        <v>7</v>
      </c>
      <c r="H12" s="6" t="n">
        <v>8</v>
      </c>
      <c r="I12" s="6" t="n"/>
      <c r="J12" s="4" t="n">
        <v>4</v>
      </c>
      <c r="K12" s="1" t="n">
        <v>31</v>
      </c>
      <c r="L12" s="9" t="n">
        <v>38.75</v>
      </c>
      <c r="M12" s="9" t="n">
        <v>31</v>
      </c>
    </row>
    <row r="13">
      <c r="A13" s="4" t="n">
        <v>12</v>
      </c>
      <c r="B13" s="4" t="inlineStr">
        <is>
          <t>LMT</t>
        </is>
      </c>
      <c r="C13" s="4" t="inlineStr">
        <is>
          <t>Lockheed Martin</t>
        </is>
      </c>
      <c r="D13" s="4" t="inlineStr">
        <is>
          <t>US</t>
        </is>
      </c>
      <c r="E13" s="6" t="n">
        <v>4</v>
      </c>
      <c r="F13" s="6" t="n">
        <v>7</v>
      </c>
      <c r="G13" s="6" t="n">
        <v>10</v>
      </c>
      <c r="H13" s="6" t="n">
        <v>10</v>
      </c>
      <c r="I13" s="6" t="n"/>
      <c r="J13" s="4" t="n">
        <v>4</v>
      </c>
      <c r="K13" s="1" t="n">
        <v>31</v>
      </c>
      <c r="L13" s="9" t="n">
        <v>38.75</v>
      </c>
      <c r="M13" s="9" t="n">
        <v>31</v>
      </c>
    </row>
    <row r="14">
      <c r="A14" s="4" t="n">
        <v>13</v>
      </c>
      <c r="B14" s="4" t="inlineStr">
        <is>
          <t>HON</t>
        </is>
      </c>
      <c r="C14" s="4" t="inlineStr">
        <is>
          <t>Honeywell</t>
        </is>
      </c>
      <c r="D14" s="4" t="inlineStr">
        <is>
          <t>US</t>
        </is>
      </c>
      <c r="E14" s="6" t="n">
        <v>6</v>
      </c>
      <c r="F14" s="6" t="n">
        <v>7</v>
      </c>
      <c r="G14" s="6" t="n">
        <v>8</v>
      </c>
      <c r="H14" s="6" t="n">
        <v>10</v>
      </c>
      <c r="I14" s="6" t="n"/>
      <c r="J14" s="4" t="n">
        <v>4</v>
      </c>
      <c r="K14" s="1" t="n">
        <v>31</v>
      </c>
      <c r="L14" s="9" t="n">
        <v>38.75</v>
      </c>
      <c r="M14" s="9" t="n">
        <v>31</v>
      </c>
    </row>
    <row r="15">
      <c r="A15" s="4" t="n">
        <v>14</v>
      </c>
      <c r="B15" s="4" t="inlineStr">
        <is>
          <t>MA</t>
        </is>
      </c>
      <c r="C15" s="4" t="inlineStr">
        <is>
          <t>Mastercard</t>
        </is>
      </c>
      <c r="D15" s="4" t="inlineStr">
        <is>
          <t>US</t>
        </is>
      </c>
      <c r="E15" s="6" t="n">
        <v>2</v>
      </c>
      <c r="F15" s="6" t="n">
        <v>10</v>
      </c>
      <c r="G15" s="6" t="n">
        <v>10</v>
      </c>
      <c r="H15" s="6" t="n">
        <v>9</v>
      </c>
      <c r="I15" s="6" t="n"/>
      <c r="J15" s="4" t="n">
        <v>4</v>
      </c>
      <c r="K15" s="1" t="n">
        <v>31</v>
      </c>
      <c r="L15" s="9" t="n">
        <v>38.75</v>
      </c>
      <c r="M15" s="9" t="n">
        <v>31</v>
      </c>
    </row>
    <row r="16">
      <c r="A16" s="4" t="n">
        <v>15</v>
      </c>
      <c r="B16" s="4" t="inlineStr">
        <is>
          <t>CTSH</t>
        </is>
      </c>
      <c r="C16" s="4" t="inlineStr">
        <is>
          <t>Cognizant</t>
        </is>
      </c>
      <c r="D16" s="4" t="inlineStr">
        <is>
          <t>US</t>
        </is>
      </c>
      <c r="E16" s="6" t="n">
        <v>10</v>
      </c>
      <c r="F16" s="6" t="n">
        <v>8</v>
      </c>
      <c r="G16" s="6" t="n">
        <v>5</v>
      </c>
      <c r="H16" s="6" t="n">
        <v>8</v>
      </c>
      <c r="I16" s="6" t="n"/>
      <c r="J16" s="4" t="n">
        <v>4</v>
      </c>
      <c r="K16" s="1" t="n">
        <v>31</v>
      </c>
      <c r="L16" s="9" t="n">
        <v>38.75</v>
      </c>
      <c r="M16" s="9" t="n">
        <v>31</v>
      </c>
    </row>
    <row r="17">
      <c r="A17" s="4" t="n">
        <v>16</v>
      </c>
      <c r="B17" s="4" t="inlineStr">
        <is>
          <t>TEL</t>
        </is>
      </c>
      <c r="C17" s="4" t="inlineStr">
        <is>
          <t>TE Connectivity</t>
        </is>
      </c>
      <c r="D17" s="4" t="inlineStr">
        <is>
          <t>US</t>
        </is>
      </c>
      <c r="E17" s="6" t="n">
        <v>6</v>
      </c>
      <c r="F17" s="6" t="n">
        <v>8</v>
      </c>
      <c r="G17" s="6" t="n">
        <v>7</v>
      </c>
      <c r="H17" s="6" t="n">
        <v>9</v>
      </c>
      <c r="I17" s="6" t="n"/>
      <c r="J17" s="4" t="n">
        <v>4</v>
      </c>
      <c r="K17" s="1" t="n">
        <v>30</v>
      </c>
      <c r="L17" s="9" t="n">
        <v>37.5</v>
      </c>
      <c r="M17" s="9" t="n">
        <v>30</v>
      </c>
    </row>
    <row r="18">
      <c r="A18" s="4" t="n">
        <v>17</v>
      </c>
      <c r="B18" s="4" t="inlineStr">
        <is>
          <t>PYPL</t>
        </is>
      </c>
      <c r="C18" s="4" t="inlineStr">
        <is>
          <t>PayPal</t>
        </is>
      </c>
      <c r="D18" s="4" t="inlineStr">
        <is>
          <t>US</t>
        </is>
      </c>
      <c r="E18" s="6" t="n">
        <v>9</v>
      </c>
      <c r="F18" s="6" t="n">
        <v>10</v>
      </c>
      <c r="G18" s="6" t="n">
        <v>8</v>
      </c>
      <c r="H18" s="6" t="n">
        <v>3</v>
      </c>
      <c r="I18" s="6" t="n"/>
      <c r="J18" s="4" t="n">
        <v>4</v>
      </c>
      <c r="K18" s="1" t="n">
        <v>30</v>
      </c>
      <c r="L18" s="9" t="n">
        <v>37.5</v>
      </c>
      <c r="M18" s="9" t="n">
        <v>30</v>
      </c>
    </row>
    <row r="19">
      <c r="A19" s="4" t="n">
        <v>18</v>
      </c>
      <c r="B19" s="4" t="inlineStr">
        <is>
          <t>PHM</t>
        </is>
      </c>
      <c r="C19" s="4" t="inlineStr">
        <is>
          <t>PulteGroup</t>
        </is>
      </c>
      <c r="D19" s="4" t="inlineStr">
        <is>
          <t>US</t>
        </is>
      </c>
      <c r="E19" s="6" t="n">
        <v>9</v>
      </c>
      <c r="F19" s="6" t="n">
        <v>10</v>
      </c>
      <c r="G19" s="6" t="n">
        <v>6</v>
      </c>
      <c r="H19" s="6" t="n">
        <v>5</v>
      </c>
      <c r="I19" s="6" t="n"/>
      <c r="J19" s="4" t="n">
        <v>4</v>
      </c>
      <c r="K19" s="1" t="n">
        <v>30</v>
      </c>
      <c r="L19" s="9" t="n">
        <v>37.5</v>
      </c>
      <c r="M19" s="9" t="n">
        <v>30</v>
      </c>
    </row>
    <row r="20">
      <c r="A20" s="4" t="n">
        <v>19</v>
      </c>
      <c r="B20" s="4" t="inlineStr">
        <is>
          <t>IT</t>
        </is>
      </c>
      <c r="C20" s="4" t="inlineStr">
        <is>
          <t>Gartner</t>
        </is>
      </c>
      <c r="D20" s="4" t="inlineStr">
        <is>
          <t>US</t>
        </is>
      </c>
      <c r="E20" s="6" t="n">
        <v>5</v>
      </c>
      <c r="F20" s="6" t="n">
        <v>8</v>
      </c>
      <c r="G20" s="6" t="n">
        <v>10</v>
      </c>
      <c r="H20" s="6" t="n">
        <v>7</v>
      </c>
      <c r="I20" s="6" t="n"/>
      <c r="J20" s="4" t="n">
        <v>4</v>
      </c>
      <c r="K20" s="1" t="n">
        <v>30</v>
      </c>
      <c r="L20" s="9" t="n">
        <v>37.5</v>
      </c>
      <c r="M20" s="9" t="n">
        <v>30</v>
      </c>
    </row>
    <row r="21">
      <c r="A21" s="4" t="n">
        <v>20</v>
      </c>
      <c r="B21" s="4" t="inlineStr">
        <is>
          <t>AMP</t>
        </is>
      </c>
      <c r="C21" s="4" t="inlineStr">
        <is>
          <t>Ameriprise Financial</t>
        </is>
      </c>
      <c r="D21" s="4" t="inlineStr">
        <is>
          <t>US</t>
        </is>
      </c>
      <c r="E21" s="6" t="n">
        <v>7</v>
      </c>
      <c r="F21" s="6" t="n">
        <v>9</v>
      </c>
      <c r="G21" s="6" t="n">
        <v>10</v>
      </c>
      <c r="H21" s="6" t="n">
        <v>4</v>
      </c>
      <c r="I21" s="6" t="n"/>
      <c r="J21" s="4" t="n">
        <v>4</v>
      </c>
      <c r="K21" s="1" t="n">
        <v>30</v>
      </c>
      <c r="L21" s="9" t="n">
        <v>37.5</v>
      </c>
      <c r="M21" s="9" t="n">
        <v>30</v>
      </c>
    </row>
    <row r="22">
      <c r="A22" s="4" t="n">
        <v>21</v>
      </c>
      <c r="B22" s="4" t="inlineStr">
        <is>
          <t>MSFT</t>
        </is>
      </c>
      <c r="C22" s="4" t="inlineStr">
        <is>
          <t>Microsoft</t>
        </is>
      </c>
      <c r="D22" s="4" t="inlineStr">
        <is>
          <t>US</t>
        </is>
      </c>
      <c r="E22" s="6" t="n">
        <v>5</v>
      </c>
      <c r="F22" s="6" t="n">
        <v>9</v>
      </c>
      <c r="G22" s="6" t="n">
        <v>8</v>
      </c>
      <c r="H22" s="6" t="n">
        <v>8</v>
      </c>
      <c r="I22" s="6" t="n"/>
      <c r="J22" s="4" t="n">
        <v>4</v>
      </c>
      <c r="K22" s="1" t="n">
        <v>30</v>
      </c>
      <c r="L22" s="9" t="n">
        <v>37.5</v>
      </c>
      <c r="M22" s="9" t="n">
        <v>30</v>
      </c>
    </row>
    <row r="23">
      <c r="A23" s="4" t="n">
        <v>22</v>
      </c>
      <c r="B23" s="4" t="inlineStr">
        <is>
          <t>HD</t>
        </is>
      </c>
      <c r="C23" s="4" t="inlineStr">
        <is>
          <t>Home Depot (The)</t>
        </is>
      </c>
      <c r="D23" s="4" t="inlineStr">
        <is>
          <t>US</t>
        </is>
      </c>
      <c r="E23" s="6" t="n">
        <v>3</v>
      </c>
      <c r="F23" s="6" t="n">
        <v>9</v>
      </c>
      <c r="G23" s="6" t="n">
        <v>10</v>
      </c>
      <c r="H23" s="6" t="n">
        <v>8</v>
      </c>
      <c r="I23" s="6" t="n"/>
      <c r="J23" s="4" t="n">
        <v>4</v>
      </c>
      <c r="K23" s="1" t="n">
        <v>30</v>
      </c>
      <c r="L23" s="9" t="n">
        <v>37.5</v>
      </c>
      <c r="M23" s="9" t="n">
        <v>30</v>
      </c>
    </row>
    <row r="24">
      <c r="A24" s="4" t="n">
        <v>23</v>
      </c>
      <c r="B24" s="4" t="inlineStr">
        <is>
          <t>ITW</t>
        </is>
      </c>
      <c r="C24" s="4" t="inlineStr">
        <is>
          <t>Illinois Tool Works</t>
        </is>
      </c>
      <c r="D24" s="4" t="inlineStr">
        <is>
          <t>US</t>
        </is>
      </c>
      <c r="E24" s="6" t="n">
        <v>3</v>
      </c>
      <c r="F24" s="6" t="n">
        <v>8</v>
      </c>
      <c r="G24" s="6" t="n">
        <v>10</v>
      </c>
      <c r="H24" s="6" t="n">
        <v>9</v>
      </c>
      <c r="I24" s="6" t="n"/>
      <c r="J24" s="4" t="n">
        <v>4</v>
      </c>
      <c r="K24" s="1" t="n">
        <v>30</v>
      </c>
      <c r="L24" s="9" t="n">
        <v>37.5</v>
      </c>
      <c r="M24" s="9" t="n">
        <v>30</v>
      </c>
    </row>
    <row r="25">
      <c r="A25" s="4" t="n">
        <v>24</v>
      </c>
      <c r="B25" s="4" t="inlineStr">
        <is>
          <t>HIG</t>
        </is>
      </c>
      <c r="C25" s="4" t="inlineStr">
        <is>
          <t>Hartford (The)</t>
        </is>
      </c>
      <c r="D25" s="4" t="inlineStr">
        <is>
          <t>US</t>
        </is>
      </c>
      <c r="E25" s="6" t="n">
        <v>9</v>
      </c>
      <c r="F25" s="6" t="n">
        <v>5</v>
      </c>
      <c r="G25" s="6" t="n">
        <v>7</v>
      </c>
      <c r="H25" s="6" t="n">
        <v>9</v>
      </c>
      <c r="I25" s="6" t="n"/>
      <c r="J25" s="4" t="n">
        <v>4</v>
      </c>
      <c r="K25" s="1" t="n">
        <v>30</v>
      </c>
      <c r="L25" s="9" t="n">
        <v>37.5</v>
      </c>
      <c r="M25" s="9" t="n">
        <v>30</v>
      </c>
    </row>
    <row r="26">
      <c r="A26" s="4" t="n">
        <v>25</v>
      </c>
      <c r="B26" s="4" t="inlineStr">
        <is>
          <t>AON</t>
        </is>
      </c>
      <c r="C26" s="4" t="inlineStr">
        <is>
          <t>Aon</t>
        </is>
      </c>
      <c r="D26" s="4" t="inlineStr">
        <is>
          <t>US</t>
        </is>
      </c>
      <c r="E26" s="6" t="n">
        <v>5</v>
      </c>
      <c r="F26" s="6" t="n">
        <v>6</v>
      </c>
      <c r="G26" s="6" t="n">
        <v>9</v>
      </c>
      <c r="H26" s="6" t="n">
        <v>10</v>
      </c>
      <c r="I26" s="6" t="n"/>
      <c r="J26" s="4" t="n">
        <v>4</v>
      </c>
      <c r="K26" s="1" t="n">
        <v>30</v>
      </c>
      <c r="L26" s="9" t="n">
        <v>37.5</v>
      </c>
      <c r="M26" s="9" t="n">
        <v>30</v>
      </c>
    </row>
    <row r="27">
      <c r="A27" s="4" t="n">
        <v>26</v>
      </c>
      <c r="B27" s="4" t="inlineStr">
        <is>
          <t>CI</t>
        </is>
      </c>
      <c r="C27" s="4" t="inlineStr">
        <is>
          <t>Cigna</t>
        </is>
      </c>
      <c r="D27" s="4" t="inlineStr">
        <is>
          <t>US</t>
        </is>
      </c>
      <c r="E27" s="6" t="n">
        <v>9</v>
      </c>
      <c r="F27" s="6" t="n">
        <v>9</v>
      </c>
      <c r="G27" s="6" t="n">
        <v>5</v>
      </c>
      <c r="H27" s="6" t="n">
        <v>6</v>
      </c>
      <c r="I27" s="6" t="n"/>
      <c r="J27" s="4" t="n">
        <v>4</v>
      </c>
      <c r="K27" s="1" t="n">
        <v>29</v>
      </c>
      <c r="L27" s="9" t="n">
        <v>36.25</v>
      </c>
      <c r="M27" s="9" t="n">
        <v>29</v>
      </c>
    </row>
    <row r="28">
      <c r="A28" s="4" t="n">
        <v>27</v>
      </c>
      <c r="B28" s="4" t="inlineStr">
        <is>
          <t>MMM</t>
        </is>
      </c>
      <c r="C28" s="4" t="inlineStr">
        <is>
          <t>3M</t>
        </is>
      </c>
      <c r="D28" s="4" t="inlineStr">
        <is>
          <t>US</t>
        </is>
      </c>
      <c r="E28" s="6" t="n">
        <v>2</v>
      </c>
      <c r="F28" s="6" t="n">
        <v>8</v>
      </c>
      <c r="G28" s="6" t="n">
        <v>10</v>
      </c>
      <c r="H28" s="6" t="n">
        <v>9</v>
      </c>
      <c r="I28" s="6" t="n"/>
      <c r="J28" s="4" t="n">
        <v>4</v>
      </c>
      <c r="K28" s="1" t="n">
        <v>29</v>
      </c>
      <c r="L28" s="9" t="n">
        <v>36.25</v>
      </c>
      <c r="M28" s="9" t="n">
        <v>29</v>
      </c>
    </row>
    <row r="29">
      <c r="A29" s="4" t="n">
        <v>28</v>
      </c>
      <c r="B29" s="4" t="inlineStr">
        <is>
          <t>CRM</t>
        </is>
      </c>
      <c r="C29" s="4" t="inlineStr">
        <is>
          <t>Salesforce</t>
        </is>
      </c>
      <c r="D29" s="4" t="inlineStr">
        <is>
          <t>US</t>
        </is>
      </c>
      <c r="E29" s="6" t="n">
        <v>6</v>
      </c>
      <c r="F29" s="6" t="n">
        <v>8</v>
      </c>
      <c r="G29" s="6" t="n">
        <v>7</v>
      </c>
      <c r="H29" s="6" t="n">
        <v>8</v>
      </c>
      <c r="I29" s="6" t="n"/>
      <c r="J29" s="4" t="n">
        <v>4</v>
      </c>
      <c r="K29" s="1" t="n">
        <v>29</v>
      </c>
      <c r="L29" s="9" t="n">
        <v>36.25</v>
      </c>
      <c r="M29" s="9" t="n">
        <v>29</v>
      </c>
    </row>
    <row r="30">
      <c r="A30" s="4" t="n">
        <v>29</v>
      </c>
      <c r="B30" s="4" t="inlineStr">
        <is>
          <t>CBOE</t>
        </is>
      </c>
      <c r="C30" s="4" t="inlineStr">
        <is>
          <t>Cboe Global Markets</t>
        </is>
      </c>
      <c r="D30" s="4" t="inlineStr">
        <is>
          <t>US</t>
        </is>
      </c>
      <c r="E30" s="6" t="n">
        <v>5</v>
      </c>
      <c r="F30" s="6" t="n">
        <v>10</v>
      </c>
      <c r="G30" s="6" t="n">
        <v>7</v>
      </c>
      <c r="H30" s="6" t="n">
        <v>7</v>
      </c>
      <c r="I30" s="6" t="n"/>
      <c r="J30" s="4" t="n">
        <v>4</v>
      </c>
      <c r="K30" s="1" t="n">
        <v>29</v>
      </c>
      <c r="L30" s="9" t="n">
        <v>36.25</v>
      </c>
      <c r="M30" s="9" t="n">
        <v>29</v>
      </c>
    </row>
    <row r="31">
      <c r="A31" s="4" t="n">
        <v>30</v>
      </c>
      <c r="B31" s="4" t="inlineStr">
        <is>
          <t>AOS</t>
        </is>
      </c>
      <c r="C31" s="4" t="inlineStr">
        <is>
          <t>A. O. Smith</t>
        </is>
      </c>
      <c r="D31" s="4" t="inlineStr">
        <is>
          <t>US</t>
        </is>
      </c>
      <c r="E31" s="6" t="n">
        <v>6</v>
      </c>
      <c r="F31" s="6" t="n">
        <v>7</v>
      </c>
      <c r="G31" s="6" t="n">
        <v>8</v>
      </c>
      <c r="H31" s="6" t="n">
        <v>8</v>
      </c>
      <c r="I31" s="6" t="n"/>
      <c r="J31" s="4" t="n">
        <v>4</v>
      </c>
      <c r="K31" s="1" t="n">
        <v>29</v>
      </c>
      <c r="L31" s="9" t="n">
        <v>36.25</v>
      </c>
      <c r="M31" s="9" t="n">
        <v>29</v>
      </c>
    </row>
    <row r="32">
      <c r="A32" s="4" t="n">
        <v>31</v>
      </c>
      <c r="B32" s="4" t="inlineStr">
        <is>
          <t>AMT</t>
        </is>
      </c>
      <c r="C32" s="4" t="inlineStr">
        <is>
          <t>American Tower</t>
        </is>
      </c>
      <c r="D32" s="4" t="inlineStr">
        <is>
          <t>US</t>
        </is>
      </c>
      <c r="E32" s="6" t="n">
        <v>3</v>
      </c>
      <c r="F32" s="6" t="n">
        <v>9</v>
      </c>
      <c r="G32" s="6" t="n">
        <v>10</v>
      </c>
      <c r="H32" s="6" t="n">
        <v>7</v>
      </c>
      <c r="I32" s="6" t="n"/>
      <c r="J32" s="4" t="n">
        <v>4</v>
      </c>
      <c r="K32" s="1" t="n">
        <v>29</v>
      </c>
      <c r="L32" s="9" t="n">
        <v>36.25</v>
      </c>
      <c r="M32" s="9" t="n">
        <v>29</v>
      </c>
    </row>
    <row r="33">
      <c r="A33" s="4" t="n">
        <v>32</v>
      </c>
      <c r="B33" s="4" t="inlineStr">
        <is>
          <t>TRV</t>
        </is>
      </c>
      <c r="C33" s="4" t="inlineStr">
        <is>
          <t>Travelers Companies (The)</t>
        </is>
      </c>
      <c r="D33" s="4" t="inlineStr">
        <is>
          <t>US</t>
        </is>
      </c>
      <c r="E33" s="6" t="n">
        <v>9</v>
      </c>
      <c r="F33" s="6" t="n">
        <v>4</v>
      </c>
      <c r="G33" s="6" t="n">
        <v>7</v>
      </c>
      <c r="H33" s="6" t="n">
        <v>9</v>
      </c>
      <c r="I33" s="6" t="n"/>
      <c r="J33" s="4" t="n">
        <v>4</v>
      </c>
      <c r="K33" s="1" t="n">
        <v>29</v>
      </c>
      <c r="L33" s="9" t="n">
        <v>36.25</v>
      </c>
      <c r="M33" s="9" t="n">
        <v>29</v>
      </c>
    </row>
    <row r="34">
      <c r="A34" s="4" t="n">
        <v>33</v>
      </c>
      <c r="B34" s="4" t="inlineStr">
        <is>
          <t>AXP</t>
        </is>
      </c>
      <c r="C34" s="4" t="inlineStr">
        <is>
          <t>American Express</t>
        </is>
      </c>
      <c r="D34" s="4" t="inlineStr">
        <is>
          <t>US</t>
        </is>
      </c>
      <c r="E34" s="6" t="n">
        <v>5</v>
      </c>
      <c r="F34" s="6" t="n">
        <v>7</v>
      </c>
      <c r="G34" s="6" t="n">
        <v>8</v>
      </c>
      <c r="H34" s="6" t="n">
        <v>9</v>
      </c>
      <c r="I34" s="6" t="n"/>
      <c r="J34" s="4" t="n">
        <v>4</v>
      </c>
      <c r="K34" s="1" t="n">
        <v>29</v>
      </c>
      <c r="L34" s="9" t="n">
        <v>36.25</v>
      </c>
      <c r="M34" s="9" t="n">
        <v>29</v>
      </c>
    </row>
    <row r="35">
      <c r="A35" s="4" t="n">
        <v>34</v>
      </c>
      <c r="B35" s="4" t="inlineStr">
        <is>
          <t>INTU</t>
        </is>
      </c>
      <c r="C35" s="4" t="inlineStr">
        <is>
          <t>Intuit</t>
        </is>
      </c>
      <c r="D35" s="4" t="inlineStr">
        <is>
          <t>US</t>
        </is>
      </c>
      <c r="E35" s="6" t="n">
        <v>7</v>
      </c>
      <c r="F35" s="6" t="n">
        <v>9</v>
      </c>
      <c r="G35" s="6" t="n">
        <v>7</v>
      </c>
      <c r="H35" s="6" t="n">
        <v>6</v>
      </c>
      <c r="I35" s="6" t="n"/>
      <c r="J35" s="4" t="n">
        <v>4</v>
      </c>
      <c r="K35" s="1" t="n">
        <v>29</v>
      </c>
      <c r="L35" s="9" t="n">
        <v>36.25</v>
      </c>
      <c r="M35" s="9" t="n">
        <v>29</v>
      </c>
    </row>
    <row r="36">
      <c r="A36" s="4" t="n">
        <v>35</v>
      </c>
      <c r="B36" s="4" t="inlineStr">
        <is>
          <t>MCO</t>
        </is>
      </c>
      <c r="C36" s="4" t="inlineStr">
        <is>
          <t>Moody's Corporation</t>
        </is>
      </c>
      <c r="D36" s="4" t="inlineStr">
        <is>
          <t>US</t>
        </is>
      </c>
      <c r="E36" s="6" t="n">
        <v>2</v>
      </c>
      <c r="F36" s="6" t="n">
        <v>9</v>
      </c>
      <c r="G36" s="6" t="n">
        <v>10</v>
      </c>
      <c r="H36" s="6" t="n">
        <v>8</v>
      </c>
      <c r="I36" s="6" t="n"/>
      <c r="J36" s="4" t="n">
        <v>4</v>
      </c>
      <c r="K36" s="1" t="n">
        <v>29</v>
      </c>
      <c r="L36" s="9" t="n">
        <v>36.25</v>
      </c>
      <c r="M36" s="9" t="n">
        <v>29</v>
      </c>
    </row>
    <row r="37">
      <c r="A37" s="4" t="n">
        <v>36</v>
      </c>
      <c r="B37" s="4" t="inlineStr">
        <is>
          <t>SHW</t>
        </is>
      </c>
      <c r="C37" s="4" t="inlineStr">
        <is>
          <t>Sherwin-Williams</t>
        </is>
      </c>
      <c r="D37" s="4" t="inlineStr">
        <is>
          <t>US</t>
        </is>
      </c>
      <c r="E37" s="6" t="n">
        <v>2</v>
      </c>
      <c r="F37" s="6" t="n">
        <v>9</v>
      </c>
      <c r="G37" s="6" t="n">
        <v>10</v>
      </c>
      <c r="H37" s="6" t="n">
        <v>8</v>
      </c>
      <c r="I37" s="6" t="n"/>
      <c r="J37" s="4" t="n">
        <v>4</v>
      </c>
      <c r="K37" s="1" t="n">
        <v>29</v>
      </c>
      <c r="L37" s="9" t="n">
        <v>36.25</v>
      </c>
      <c r="M37" s="9" t="n">
        <v>29</v>
      </c>
    </row>
    <row r="38">
      <c r="A38" s="4" t="n">
        <v>37</v>
      </c>
      <c r="B38" s="4" t="inlineStr">
        <is>
          <t>ADBE</t>
        </is>
      </c>
      <c r="C38" s="4" t="inlineStr">
        <is>
          <t>Adobe Inc.</t>
        </is>
      </c>
      <c r="D38" s="4" t="inlineStr">
        <is>
          <t>US</t>
        </is>
      </c>
      <c r="E38" s="6" t="n">
        <v>6</v>
      </c>
      <c r="F38" s="6" t="n">
        <v>10</v>
      </c>
      <c r="G38" s="6" t="n">
        <v>10</v>
      </c>
      <c r="H38" s="6" t="n">
        <v>3</v>
      </c>
      <c r="I38" s="6" t="n"/>
      <c r="J38" s="4" t="n">
        <v>4</v>
      </c>
      <c r="K38" s="1" t="n">
        <v>29</v>
      </c>
      <c r="L38" s="9" t="n">
        <v>36.25</v>
      </c>
      <c r="M38" s="9" t="n">
        <v>29</v>
      </c>
    </row>
    <row r="39">
      <c r="A39" s="4" t="n">
        <v>38</v>
      </c>
      <c r="B39" s="4" t="inlineStr">
        <is>
          <t>GOOGL</t>
        </is>
      </c>
      <c r="C39" s="4" t="inlineStr">
        <is>
          <t>Alphabet Inc. (Class A)</t>
        </is>
      </c>
      <c r="D39" s="4" t="inlineStr">
        <is>
          <t>US</t>
        </is>
      </c>
      <c r="E39" s="6" t="n">
        <v>4</v>
      </c>
      <c r="F39" s="6" t="n">
        <v>8</v>
      </c>
      <c r="G39" s="6" t="n">
        <v>9</v>
      </c>
      <c r="H39" s="6" t="n">
        <v>7</v>
      </c>
      <c r="I39" s="6" t="n"/>
      <c r="J39" s="4" t="n">
        <v>4</v>
      </c>
      <c r="K39" s="1" t="n">
        <v>28</v>
      </c>
      <c r="L39" s="9" t="n">
        <v>35</v>
      </c>
      <c r="M39" s="9" t="n">
        <v>28</v>
      </c>
    </row>
    <row r="40">
      <c r="A40" s="4" t="n">
        <v>39</v>
      </c>
      <c r="B40" s="4" t="inlineStr">
        <is>
          <t>DHI</t>
        </is>
      </c>
      <c r="C40" s="4" t="inlineStr">
        <is>
          <t>D. R. Horton</t>
        </is>
      </c>
      <c r="D40" s="4" t="inlineStr">
        <is>
          <t>US</t>
        </is>
      </c>
      <c r="E40" s="6" t="n">
        <v>8</v>
      </c>
      <c r="F40" s="6" t="n">
        <v>10</v>
      </c>
      <c r="G40" s="6" t="n">
        <v>5</v>
      </c>
      <c r="H40" s="6" t="n">
        <v>5</v>
      </c>
      <c r="I40" s="6" t="n"/>
      <c r="J40" s="4" t="n">
        <v>4</v>
      </c>
      <c r="K40" s="1" t="n">
        <v>28</v>
      </c>
      <c r="L40" s="9" t="n">
        <v>35</v>
      </c>
      <c r="M40" s="9" t="n">
        <v>28</v>
      </c>
    </row>
    <row r="41">
      <c r="A41" s="4" t="n">
        <v>40</v>
      </c>
      <c r="B41" s="4" t="inlineStr">
        <is>
          <t>CME</t>
        </is>
      </c>
      <c r="C41" s="4" t="inlineStr">
        <is>
          <t>CME Group</t>
        </is>
      </c>
      <c r="D41" s="4" t="inlineStr">
        <is>
          <t>US</t>
        </is>
      </c>
      <c r="E41" s="6" t="n">
        <v>7</v>
      </c>
      <c r="F41" s="6" t="n">
        <v>7</v>
      </c>
      <c r="G41" s="6" t="n">
        <v>6</v>
      </c>
      <c r="H41" s="6" t="n">
        <v>8</v>
      </c>
      <c r="I41" s="6" t="n"/>
      <c r="J41" s="4" t="n">
        <v>4</v>
      </c>
      <c r="K41" s="1" t="n">
        <v>28</v>
      </c>
      <c r="L41" s="9" t="n">
        <v>35</v>
      </c>
      <c r="M41" s="9" t="n">
        <v>28</v>
      </c>
    </row>
    <row r="42">
      <c r="A42" s="4" t="n">
        <v>41</v>
      </c>
      <c r="B42" s="4" t="inlineStr">
        <is>
          <t>JNJ</t>
        </is>
      </c>
      <c r="C42" s="4" t="inlineStr">
        <is>
          <t>Johnson &amp; Johnson</t>
        </is>
      </c>
      <c r="D42" s="4" t="inlineStr">
        <is>
          <t>US</t>
        </is>
      </c>
      <c r="E42" s="6" t="n">
        <v>3</v>
      </c>
      <c r="F42" s="6" t="n">
        <v>7</v>
      </c>
      <c r="G42" s="6" t="n">
        <v>8</v>
      </c>
      <c r="H42" s="6" t="n">
        <v>10</v>
      </c>
      <c r="I42" s="6" t="n"/>
      <c r="J42" s="4" t="n">
        <v>4</v>
      </c>
      <c r="K42" s="1" t="n">
        <v>28</v>
      </c>
      <c r="L42" s="9" t="n">
        <v>35</v>
      </c>
      <c r="M42" s="9" t="n">
        <v>28</v>
      </c>
    </row>
    <row r="43">
      <c r="A43" s="4" t="n">
        <v>42</v>
      </c>
      <c r="B43" s="4" t="inlineStr">
        <is>
          <t>UPS</t>
        </is>
      </c>
      <c r="C43" s="4" t="inlineStr">
        <is>
          <t>United Parcel Service</t>
        </is>
      </c>
      <c r="D43" s="4" t="inlineStr">
        <is>
          <t>US</t>
        </is>
      </c>
      <c r="E43" s="6" t="n">
        <v>6</v>
      </c>
      <c r="F43" s="6" t="n">
        <v>6</v>
      </c>
      <c r="G43" s="6" t="n">
        <v>8</v>
      </c>
      <c r="H43" s="6" t="n">
        <v>8</v>
      </c>
      <c r="I43" s="6" t="n"/>
      <c r="J43" s="4" t="n">
        <v>4</v>
      </c>
      <c r="K43" s="1" t="n">
        <v>28</v>
      </c>
      <c r="L43" s="9" t="n">
        <v>35</v>
      </c>
      <c r="M43" s="9" t="n">
        <v>28</v>
      </c>
    </row>
    <row r="44">
      <c r="A44" s="4" t="n">
        <v>43</v>
      </c>
      <c r="B44" s="4" t="inlineStr">
        <is>
          <t>FDX</t>
        </is>
      </c>
      <c r="C44" s="4" t="inlineStr">
        <is>
          <t>FedEx</t>
        </is>
      </c>
      <c r="D44" s="4" t="inlineStr">
        <is>
          <t>US</t>
        </is>
      </c>
      <c r="E44" s="6" t="n">
        <v>7</v>
      </c>
      <c r="F44" s="6" t="n">
        <v>9</v>
      </c>
      <c r="G44" s="6" t="n">
        <v>5</v>
      </c>
      <c r="H44" s="6" t="n">
        <v>7</v>
      </c>
      <c r="I44" s="6" t="n"/>
      <c r="J44" s="4" t="n">
        <v>4</v>
      </c>
      <c r="K44" s="1" t="n">
        <v>28</v>
      </c>
      <c r="L44" s="9" t="n">
        <v>35</v>
      </c>
      <c r="M44" s="9" t="n">
        <v>28</v>
      </c>
    </row>
    <row r="45">
      <c r="A45" s="4" t="n">
        <v>44</v>
      </c>
      <c r="B45" s="4" t="inlineStr">
        <is>
          <t>GOOG</t>
        </is>
      </c>
      <c r="C45" s="4" t="inlineStr">
        <is>
          <t>Alphabet Inc. (Class C)</t>
        </is>
      </c>
      <c r="D45" s="4" t="inlineStr">
        <is>
          <t>US</t>
        </is>
      </c>
      <c r="E45" s="6" t="n">
        <v>4</v>
      </c>
      <c r="F45" s="6" t="n">
        <v>8</v>
      </c>
      <c r="G45" s="6" t="n">
        <v>9</v>
      </c>
      <c r="H45" s="6" t="n">
        <v>7</v>
      </c>
      <c r="I45" s="6" t="n"/>
      <c r="J45" s="4" t="n">
        <v>4</v>
      </c>
      <c r="K45" s="1" t="n">
        <v>28</v>
      </c>
      <c r="L45" s="9" t="n">
        <v>35</v>
      </c>
      <c r="M45" s="9" t="n">
        <v>28</v>
      </c>
    </row>
    <row r="46">
      <c r="A46" s="4" t="n">
        <v>45</v>
      </c>
      <c r="B46" s="4" t="inlineStr">
        <is>
          <t>WM</t>
        </is>
      </c>
      <c r="C46" s="4" t="inlineStr">
        <is>
          <t>Waste Management</t>
        </is>
      </c>
      <c r="D46" s="4" t="inlineStr">
        <is>
          <t>US</t>
        </is>
      </c>
      <c r="E46" s="6" t="n">
        <v>3</v>
      </c>
      <c r="F46" s="6" t="n">
        <v>7</v>
      </c>
      <c r="G46" s="6" t="n">
        <v>8</v>
      </c>
      <c r="H46" s="6" t="n">
        <v>10</v>
      </c>
      <c r="I46" s="6" t="n"/>
      <c r="J46" s="4" t="n">
        <v>4</v>
      </c>
      <c r="K46" s="1" t="n">
        <v>28</v>
      </c>
      <c r="L46" s="9" t="n">
        <v>35</v>
      </c>
      <c r="M46" s="9" t="n">
        <v>28</v>
      </c>
    </row>
    <row r="47">
      <c r="A47" s="4" t="n">
        <v>46</v>
      </c>
      <c r="B47" s="4" t="inlineStr">
        <is>
          <t>APH</t>
        </is>
      </c>
      <c r="C47" s="4" t="inlineStr">
        <is>
          <t>Amphenol</t>
        </is>
      </c>
      <c r="D47" s="4" t="inlineStr">
        <is>
          <t>US</t>
        </is>
      </c>
      <c r="E47" s="6" t="n">
        <v>2</v>
      </c>
      <c r="F47" s="6" t="n">
        <v>8</v>
      </c>
      <c r="G47" s="6" t="n">
        <v>8</v>
      </c>
      <c r="H47" s="6" t="n">
        <v>10</v>
      </c>
      <c r="I47" s="6" t="n"/>
      <c r="J47" s="4" t="n">
        <v>4</v>
      </c>
      <c r="K47" s="1" t="n">
        <v>28</v>
      </c>
      <c r="L47" s="9" t="n">
        <v>35</v>
      </c>
      <c r="M47" s="9" t="n">
        <v>28</v>
      </c>
    </row>
    <row r="48">
      <c r="A48" s="4" t="n">
        <v>47</v>
      </c>
      <c r="B48" s="4" t="inlineStr">
        <is>
          <t>MHK</t>
        </is>
      </c>
      <c r="C48" s="4" t="inlineStr">
        <is>
          <t>Mohawk Industries</t>
        </is>
      </c>
      <c r="D48" s="4" t="inlineStr">
        <is>
          <t>US</t>
        </is>
      </c>
      <c r="E48" s="6" t="n">
        <v>9</v>
      </c>
      <c r="F48" s="6" t="n">
        <v>8</v>
      </c>
      <c r="G48" s="6" t="n">
        <v>2</v>
      </c>
      <c r="H48" s="6" t="n">
        <v>9</v>
      </c>
      <c r="I48" s="6" t="n"/>
      <c r="J48" s="4" t="n">
        <v>4</v>
      </c>
      <c r="K48" s="1" t="n">
        <v>28</v>
      </c>
      <c r="L48" s="9" t="n">
        <v>35</v>
      </c>
      <c r="M48" s="9" t="n">
        <v>28</v>
      </c>
    </row>
    <row r="49">
      <c r="A49" s="4" t="n">
        <v>48</v>
      </c>
      <c r="B49" s="4" t="inlineStr">
        <is>
          <t>LKQ</t>
        </is>
      </c>
      <c r="C49" s="4" t="inlineStr">
        <is>
          <t>LKQ Corporation</t>
        </is>
      </c>
      <c r="D49" s="4" t="inlineStr">
        <is>
          <t>US</t>
        </is>
      </c>
      <c r="E49" s="6" t="n">
        <v>10</v>
      </c>
      <c r="F49" s="6" t="n">
        <v>8</v>
      </c>
      <c r="G49" s="6" t="n">
        <v>3</v>
      </c>
      <c r="H49" s="6" t="n">
        <v>7</v>
      </c>
      <c r="I49" s="6" t="n"/>
      <c r="J49" s="4" t="n">
        <v>4</v>
      </c>
      <c r="K49" s="1" t="n">
        <v>28</v>
      </c>
      <c r="L49" s="9" t="n">
        <v>35</v>
      </c>
      <c r="M49" s="9" t="n">
        <v>28</v>
      </c>
    </row>
    <row r="50">
      <c r="A50" s="4" t="n">
        <v>49</v>
      </c>
      <c r="B50" s="4" t="inlineStr">
        <is>
          <t>PSX</t>
        </is>
      </c>
      <c r="C50" s="4" t="inlineStr">
        <is>
          <t>Phillips 66</t>
        </is>
      </c>
      <c r="D50" s="4" t="inlineStr">
        <is>
          <t>US</t>
        </is>
      </c>
      <c r="E50" s="6" t="n">
        <v>8</v>
      </c>
      <c r="F50" s="6" t="n">
        <v>7</v>
      </c>
      <c r="G50" s="6" t="n">
        <v>5</v>
      </c>
      <c r="H50" s="6" t="n">
        <v>8</v>
      </c>
      <c r="I50" s="6" t="n"/>
      <c r="J50" s="4" t="n">
        <v>4</v>
      </c>
      <c r="K50" s="1" t="n">
        <v>28</v>
      </c>
      <c r="L50" s="9" t="n">
        <v>35</v>
      </c>
      <c r="M50" s="9" t="n">
        <v>28</v>
      </c>
    </row>
    <row r="51">
      <c r="A51" s="4" t="n">
        <v>50</v>
      </c>
      <c r="B51" s="4" t="inlineStr">
        <is>
          <t>ROP</t>
        </is>
      </c>
      <c r="C51" s="4" t="inlineStr">
        <is>
          <t>Roper Technologies</t>
        </is>
      </c>
      <c r="D51" s="4" t="inlineStr">
        <is>
          <t>US</t>
        </is>
      </c>
      <c r="E51" s="6" t="n">
        <v>7</v>
      </c>
      <c r="F51" s="6" t="n">
        <v>9</v>
      </c>
      <c r="G51" s="6" t="n">
        <v>3</v>
      </c>
      <c r="H51" s="6" t="n">
        <v>9</v>
      </c>
      <c r="I51" s="6" t="n"/>
      <c r="J51" s="4" t="n">
        <v>4</v>
      </c>
      <c r="K51" s="1" t="n">
        <v>28</v>
      </c>
      <c r="L51" s="9" t="n">
        <v>35</v>
      </c>
      <c r="M51" s="9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3" t="inlineStr">
        <is>
          <t>Region</t>
        </is>
      </c>
      <c r="B1" s="3" t="inlineStr">
        <is>
          <t>Count</t>
        </is>
      </c>
      <c r="C1" s="3" t="inlineStr">
        <is>
          <t>Mean Value</t>
        </is>
      </c>
      <c r="D1" s="3" t="inlineStr">
        <is>
          <t>Mean Momentum</t>
        </is>
      </c>
      <c r="E1" s="3" t="inlineStr">
        <is>
          <t>Mean Quality</t>
        </is>
      </c>
      <c r="F1" s="3" t="inlineStr">
        <is>
          <t>Mean Low Vol</t>
        </is>
      </c>
      <c r="G1" s="3" t="inlineStr">
        <is>
          <t>Mean Skin in Game</t>
        </is>
      </c>
      <c r="H1" s="3" t="inlineStr">
        <is>
          <t>Mean Total</t>
        </is>
      </c>
      <c r="I1" s="3" t="inlineStr">
        <is>
          <t>Median Coverage</t>
        </is>
      </c>
    </row>
    <row r="2">
      <c r="A2" s="4" t="inlineStr">
        <is>
          <t>US</t>
        </is>
      </c>
      <c r="B2" s="4" t="n">
        <v>362</v>
      </c>
      <c r="C2" s="10" t="n">
        <v>5.54</v>
      </c>
      <c r="D2" s="10" t="n">
        <v>5.51</v>
      </c>
      <c r="E2" s="10" t="n">
        <v>5.51</v>
      </c>
      <c r="F2" s="10" t="n">
        <v>5.51</v>
      </c>
      <c r="G2" s="10" t="n"/>
      <c r="H2" s="10" t="n">
        <v>21.69</v>
      </c>
      <c r="I2" s="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Multi-factor equity screen — methodology &amp; caveats</t>
        </is>
      </c>
    </row>
    <row r="2">
      <c r="A2" s="4" t="inlineStr"/>
    </row>
    <row r="3">
      <c r="A3" s="4" t="inlineStr">
        <is>
          <t>Scoring is algorithmic: each factor becomes a real metric, is winsorized at the</t>
        </is>
      </c>
    </row>
    <row r="4">
      <c r="A4" s="4" t="inlineStr">
        <is>
          <t>1st/99th percentile, percentile-ranked within the chosen scope (region by default,</t>
        </is>
      </c>
    </row>
    <row r="5">
      <c r="A5" s="4" t="inlineStr">
        <is>
          <t>or global), and the composite percentile p is mapped to an integer score via</t>
        </is>
      </c>
    </row>
    <row r="6">
      <c r="A6" s="4" t="inlineStr">
        <is>
          <t>ceil(p * K), clipped to [1, K]. Composite factors (Value, Quality) average the</t>
        </is>
      </c>
    </row>
    <row r="7">
      <c r="A7" s="4" t="inlineStr">
        <is>
          <t>percentile ranks of whichever components have data; missing components are skipped,</t>
        </is>
      </c>
    </row>
    <row r="8">
      <c r="A8" s="4" t="inlineStr">
        <is>
          <t>never imputed.</t>
        </is>
      </c>
    </row>
    <row r="9">
      <c r="A9" s="4" t="inlineStr"/>
    </row>
    <row r="10">
      <c r="A10" s="4" t="inlineStr">
        <is>
          <t>How to read the Scores sheet:</t>
        </is>
      </c>
    </row>
    <row r="11">
      <c r="A11" s="4" t="inlineStr">
        <is>
          <t xml:space="preserve"> - Total, Total (cov-adj), Weighted and Coverage are LIVE Excel formulas. Edit any</t>
        </is>
      </c>
    </row>
    <row r="12">
      <c r="A12" s="4" t="inlineStr">
        <is>
          <t xml:space="preserve">   factor score (or the blue weights row) and the workbook recalculates.</t>
        </is>
      </c>
    </row>
    <row r="13">
      <c r="A13" s="4" t="inlineStr">
        <is>
          <t xml:space="preserve"> - Weighted = SUMPRODUCT of the five factor scores with the editable weights row.</t>
        </is>
      </c>
    </row>
    <row r="14">
      <c r="A14" s="4" t="inlineStr">
        <is>
          <t xml:space="preserve"> - Total (cov-adj) = Total * 5 / Coverage, to normalise for missing factors.</t>
        </is>
      </c>
    </row>
    <row r="15">
      <c r="A15" s="4" t="inlineStr"/>
    </row>
    <row r="16">
      <c r="A16" s="4" t="inlineStr">
        <is>
          <t>Caveats:</t>
        </is>
      </c>
    </row>
    <row r="17">
      <c r="A17" s="4" t="inlineStr">
        <is>
          <t xml:space="preserve"> 1. Filter Coverage &gt;= 4 before trusting a rank. Thin data makes the raw Total</t>
        </is>
      </c>
    </row>
    <row r="18">
      <c r="A18" s="4" t="inlineStr">
        <is>
          <t xml:space="preserve">    misleading: a name scored on two factors is not comparable to one scored on five.</t>
        </is>
      </c>
    </row>
    <row r="19">
      <c r="A19" s="4" t="inlineStr">
        <is>
          <t xml:space="preserve"> 2. Skin-in-the-Game is a weak proxy. insider_pct does not isolate founder-CEOs, and</t>
        </is>
      </c>
    </row>
    <row r="20">
      <c r="A20" s="4" t="inlineStr">
        <is>
          <t xml:space="preserve">    high promoter holding in India/China can signal entrenchment, not alignment.</t>
        </is>
      </c>
    </row>
    <row r="21">
      <c r="A21" s="4" t="inlineStr">
        <is>
          <t xml:space="preserve"> 3. Momentum and Low Vol depend on current prices, so the screen must be re-run live.</t>
        </is>
      </c>
    </row>
    <row r="22">
      <c r="A22" s="4" t="inlineStr">
        <is>
          <t xml:space="preserve">    Do not treat a cached snapshot as current.</t>
        </is>
      </c>
    </row>
    <row r="23">
      <c r="A23" s="4" t="inlineStr">
        <is>
          <t xml:space="preserve"> 4. Anomaly premia decay materially post-publication, and most documented anomalies</t>
        </is>
      </c>
    </row>
    <row r="24">
      <c r="A24" s="4" t="inlineStr">
        <is>
          <t xml:space="preserve">    fail to replicate out of sample. At ~5000 names you are deep in illiquid micro-caps</t>
        </is>
      </c>
    </row>
    <row r="25">
      <c r="A25" s="4" t="inlineStr">
        <is>
          <t xml:space="preserve">    full of value traps. Treat this as ONE filter, sized small, not a strategy.</t>
        </is>
      </c>
    </row>
    <row r="26">
      <c r="A26" s="4" t="inlineStr">
        <is>
          <t xml:space="preserve"> 5. Mainland China A-shares are excluded by default on governance grounds. 'China' here</t>
        </is>
      </c>
    </row>
    <row r="27">
      <c r="A27" s="4" t="inlineStr">
        <is>
          <t xml:space="preserve">    means HK-listed names plus ADRs, which carry their own VIE / political tail risk</t>
        </is>
      </c>
    </row>
    <row r="28">
      <c r="A28" s="4" t="inlineStr">
        <is>
          <t xml:space="preserve">    (not scored here).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2026-06-29T20:05:06Z</dcterms:created>
  <dcterms:modified xsi:type="dcterms:W3CDTF">2026-06-29T20:05:06Z</dcterms:modified>
</cp:coreProperties>
</file>